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KIIT\Downloads\"/>
    </mc:Choice>
  </mc:AlternateContent>
  <xr:revisionPtr revIDLastSave="0" documentId="13_ncr:1_{3E6268B9-8172-41C1-9BE2-3C042CE29AB1}" xr6:coauthVersionLast="47" xr6:coauthVersionMax="47" xr10:uidLastSave="{00000000-0000-0000-0000-000000000000}"/>
  <bookViews>
    <workbookView xWindow="-110" yWindow="-110" windowWidth="19420" windowHeight="11500" activeTab="3" xr2:uid="{E7AC49B0-CE97-427E-975B-F4C03E75F138}"/>
  </bookViews>
  <sheets>
    <sheet name="Data" sheetId="2" r:id="rId1"/>
    <sheet name="Sheet2" sheetId="4" r:id="rId2"/>
    <sheet name="Cleaned Data" sheetId="3" r:id="rId3"/>
    <sheet name="Pivot1" sheetId="5" r:id="rId4"/>
    <sheet name="Dashboard" sheetId="1" r:id="rId5"/>
    <sheet name="Dashboard1" sheetId="6" r:id="rId6"/>
  </sheets>
  <definedNames>
    <definedName name="_xlnm._FilterDatabase" localSheetId="2" hidden="1">'Cleaned Data'!$A$1:$T$51</definedName>
    <definedName name="_xlnm._FilterDatabase" localSheetId="0" hidden="1">Data!$A$1:$T$51</definedName>
    <definedName name="_xlchart.v1.0" hidden="1">Pivot1!$D$28:$D$38</definedName>
    <definedName name="_xlchart.v1.1" hidden="1">Pivot1!$E$27</definedName>
    <definedName name="_xlchart.v1.2" hidden="1">Pivot1!$E$28:$E$38</definedName>
    <definedName name="NativeTimeline_order_date">#N/A</definedName>
    <definedName name="Slicer_category">#N/A</definedName>
    <definedName name="Slicer_segment">#N/A</definedName>
  </definedNames>
  <calcPr calcId="181029"/>
  <pivotCaches>
    <pivotCache cacheId="8"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9" i="5" l="1"/>
  <c r="E29" i="5"/>
  <c r="D30" i="5"/>
  <c r="E30" i="5"/>
  <c r="D31" i="5"/>
  <c r="E31" i="5"/>
  <c r="D32" i="5"/>
  <c r="E32" i="5"/>
  <c r="D33" i="5"/>
  <c r="E33" i="5"/>
  <c r="D34" i="5"/>
  <c r="E34" i="5"/>
  <c r="D35" i="5"/>
  <c r="E35" i="5"/>
  <c r="D36" i="5"/>
  <c r="E36" i="5"/>
  <c r="D37" i="5"/>
  <c r="E37" i="5"/>
  <c r="D38" i="5"/>
  <c r="E38" i="5"/>
  <c r="E28" i="5"/>
  <c r="D28" i="5"/>
  <c r="E4" i="4"/>
</calcChain>
</file>

<file path=xl/sharedStrings.xml><?xml version="1.0" encoding="utf-8"?>
<sst xmlns="http://schemas.openxmlformats.org/spreadsheetml/2006/main" count="1387" uniqueCount="269">
  <si>
    <t>order_id</t>
  </si>
  <si>
    <t>order_date</t>
  </si>
  <si>
    <t>ship_date</t>
  </si>
  <si>
    <t>ship_mode</t>
  </si>
  <si>
    <t>customer_id</t>
  </si>
  <si>
    <t>customer_name</t>
  </si>
  <si>
    <t>segment</t>
  </si>
  <si>
    <t>country</t>
  </si>
  <si>
    <t>city</t>
  </si>
  <si>
    <t>state</t>
  </si>
  <si>
    <t>postal_code</t>
  </si>
  <si>
    <t>region</t>
  </si>
  <si>
    <t>product_id</t>
  </si>
  <si>
    <t>category</t>
  </si>
  <si>
    <t>sub_category</t>
  </si>
  <si>
    <t>product_name</t>
  </si>
  <si>
    <t>sales</t>
  </si>
  <si>
    <t>profit</t>
  </si>
  <si>
    <t>quantity</t>
  </si>
  <si>
    <t>discount</t>
  </si>
  <si>
    <t>CA-2018-106859</t>
  </si>
  <si>
    <t>Second Class</t>
  </si>
  <si>
    <t>BF-11215</t>
  </si>
  <si>
    <t>Benjamin Farhat</t>
  </si>
  <si>
    <t>Home Office</t>
  </si>
  <si>
    <t>United States</t>
  </si>
  <si>
    <t>Albuquerque</t>
  </si>
  <si>
    <t>New Mexico</t>
  </si>
  <si>
    <t>West</t>
  </si>
  <si>
    <t>OFF-PA-10001815</t>
  </si>
  <si>
    <t>Office Supplies</t>
  </si>
  <si>
    <t>Paper</t>
  </si>
  <si>
    <t>Xerox 1885</t>
  </si>
  <si>
    <t>CA-2018-101182</t>
  </si>
  <si>
    <t>First Class</t>
  </si>
  <si>
    <t>KB-16405</t>
  </si>
  <si>
    <t>Katrina Bavinger</t>
  </si>
  <si>
    <t>Apple Valley</t>
  </si>
  <si>
    <t>California</t>
  </si>
  <si>
    <t>OFF-PA-10001800</t>
  </si>
  <si>
    <t>Xerox 220</t>
  </si>
  <si>
    <t>TEC-PH-10003589</t>
  </si>
  <si>
    <t>Technology</t>
  </si>
  <si>
    <t>Phones</t>
  </si>
  <si>
    <t>invisibleSHIELD by ZAGG Smudge-Free Screen Protector</t>
  </si>
  <si>
    <t>CA-2016-114468</t>
  </si>
  <si>
    <t>Same Day</t>
  </si>
  <si>
    <t>TD-20995</t>
  </si>
  <si>
    <t>Tamara Dahlen</t>
  </si>
  <si>
    <t>Consumer</t>
  </si>
  <si>
    <t>Bolingbrook</t>
  </si>
  <si>
    <t>Illinois</t>
  </si>
  <si>
    <t>Central</t>
  </si>
  <si>
    <t>OFF-SU-10004231</t>
  </si>
  <si>
    <t>Supplies</t>
  </si>
  <si>
    <t>Acme Tagit Stainless Steel Antibacterial Scissors</t>
  </si>
  <si>
    <t>OFF-PA-10000809</t>
  </si>
  <si>
    <t>Xerox 206</t>
  </si>
  <si>
    <t>OFF-FA-10003021</t>
  </si>
  <si>
    <t>Fasteners</t>
  </si>
  <si>
    <t>Staples</t>
  </si>
  <si>
    <t>OFF-AP-10000696</t>
  </si>
  <si>
    <t>Appliances</t>
  </si>
  <si>
    <t>Holmes Odor Grabber</t>
  </si>
  <si>
    <t>CA-2017-117625</t>
  </si>
  <si>
    <t>Standard Class</t>
  </si>
  <si>
    <t>GM-14500</t>
  </si>
  <si>
    <t>Gene McClure</t>
  </si>
  <si>
    <t>Chicago</t>
  </si>
  <si>
    <t>OFF-EN-10001535</t>
  </si>
  <si>
    <t>Envelopes</t>
  </si>
  <si>
    <t>Grip Seal Envelopes</t>
  </si>
  <si>
    <t>CA-2018-121258</t>
  </si>
  <si>
    <t>DB-13060</t>
  </si>
  <si>
    <t>Dave Brooks</t>
  </si>
  <si>
    <t>Costa Mesa</t>
  </si>
  <si>
    <t>FUR-FU-10000747</t>
  </si>
  <si>
    <t>Furniture</t>
  </si>
  <si>
    <t>Furnishings</t>
  </si>
  <si>
    <t>Tenex B1-RE Series Chair Mats for Low Pile Carpets</t>
  </si>
  <si>
    <t>TEC-PH-10003645</t>
  </si>
  <si>
    <t>Aastra 57i VoIP phone</t>
  </si>
  <si>
    <t>OFF-PA-10004041</t>
  </si>
  <si>
    <t>It's Hot Message Books with Stickers, 2 3/4" x 5"</t>
  </si>
  <si>
    <t>CA-2015-143903</t>
  </si>
  <si>
    <t>KM-16375</t>
  </si>
  <si>
    <t>Katherine Murray</t>
  </si>
  <si>
    <t>Dallas</t>
  </si>
  <si>
    <t>Texas</t>
  </si>
  <si>
    <t>OFF-ST-10003306</t>
  </si>
  <si>
    <t>Storage</t>
  </si>
  <si>
    <t>Letter Size Cart</t>
  </si>
  <si>
    <t>FUR-FU-10003724</t>
  </si>
  <si>
    <t>Westinghouse Clip-On Gooseneck Lamps</t>
  </si>
  <si>
    <t>FUR-CH-10002024</t>
  </si>
  <si>
    <t>Chairs</t>
  </si>
  <si>
    <t>HON 5400 Series Task Chairs for Big and Tall</t>
  </si>
  <si>
    <t>CA-2018-108756</t>
  </si>
  <si>
    <t>PO-18865</t>
  </si>
  <si>
    <t>Patrick O'Donnell</t>
  </si>
  <si>
    <t>East Orange</t>
  </si>
  <si>
    <t>New Jersey</t>
  </si>
  <si>
    <t>East</t>
  </si>
  <si>
    <t>TEC-AC-10003237</t>
  </si>
  <si>
    <t>Accessories</t>
  </si>
  <si>
    <t>Memorex Micro Travel Drive 4 GB</t>
  </si>
  <si>
    <t>CA-2018-155362</t>
  </si>
  <si>
    <t>DP-13105</t>
  </si>
  <si>
    <t>Dave Poirier</t>
  </si>
  <si>
    <t>Corporate</t>
  </si>
  <si>
    <t>Eau Claire</t>
  </si>
  <si>
    <t>Wisconsin</t>
  </si>
  <si>
    <t>OFF-ST-10001031</t>
  </si>
  <si>
    <t>Adjustable Personal File Tote</t>
  </si>
  <si>
    <t>US-2016-108966</t>
  </si>
  <si>
    <t>SO-20335</t>
  </si>
  <si>
    <t>Fort Lauderdale</t>
  </si>
  <si>
    <t>Florida</t>
  </si>
  <si>
    <t>South</t>
  </si>
  <si>
    <t>FUR-TA-10000577</t>
  </si>
  <si>
    <t>Tables</t>
  </si>
  <si>
    <t>Bretford CR4500 Series Slim Rectangular Table</t>
  </si>
  <si>
    <t>Sean O'Donnell</t>
  </si>
  <si>
    <t>OFF-ST-10000760</t>
  </si>
  <si>
    <t>Eldon Fold 'N Roll Cart System</t>
  </si>
  <si>
    <t>CA-2018-135692</t>
  </si>
  <si>
    <t>CV-12805</t>
  </si>
  <si>
    <t>Cynthia Voltz</t>
  </si>
  <si>
    <t>Fort Worth</t>
  </si>
  <si>
    <t>OFF-LA-10001158</t>
  </si>
  <si>
    <t>Labels</t>
  </si>
  <si>
    <t>Avery Address/Shipping Labels for Typewriters, 4" x 2"</t>
  </si>
  <si>
    <t>CA-2017-152156</t>
  </si>
  <si>
    <t>CG-12520</t>
  </si>
  <si>
    <t>Claire Gute</t>
  </si>
  <si>
    <t>Henderson</t>
  </si>
  <si>
    <t>Kentucky</t>
  </si>
  <si>
    <t>FUR-BO-10001798</t>
  </si>
  <si>
    <t>Bookcases</t>
  </si>
  <si>
    <t>Bush Somerset Collection Bookcase</t>
  </si>
  <si>
    <t>FUR-CH-10000454</t>
  </si>
  <si>
    <t>Hon Deluxe Fabric Upholstered Stacking Chairs, Rounded Back</t>
  </si>
  <si>
    <t>US-2018-159205</t>
  </si>
  <si>
    <t>DB-12910</t>
  </si>
  <si>
    <t>Daniel Byrd</t>
  </si>
  <si>
    <t>FUR-FU-10001591</t>
  </si>
  <si>
    <t>Advantus Panel Wall Certificate Holder - 8.5x11</t>
  </si>
  <si>
    <t>TEC-PH-10000526</t>
  </si>
  <si>
    <t>Vtech CS6719</t>
  </si>
  <si>
    <t>CA-2018-118773</t>
  </si>
  <si>
    <t>TP-21415</t>
  </si>
  <si>
    <t>Tom Prescott</t>
  </si>
  <si>
    <t>Houston</t>
  </si>
  <si>
    <t>OFF-BI-10004584</t>
  </si>
  <si>
    <t>Binders</t>
  </si>
  <si>
    <t>GBC ProClick 150 Presentation Binding System</t>
  </si>
  <si>
    <t>TEC-AC-10002402</t>
  </si>
  <si>
    <t>Razer Kraken PRO Over Ear PC and Music Headset</t>
  </si>
  <si>
    <t>FUR-FU-10000550</t>
  </si>
  <si>
    <t>Stacking Trays by OIC</t>
  </si>
  <si>
    <t>OFF-AP-10000055</t>
  </si>
  <si>
    <t>Belkin F9S820V06 8 Outlet Surge</t>
  </si>
  <si>
    <t>CA-2017-138688</t>
  </si>
  <si>
    <t>DV-13045</t>
  </si>
  <si>
    <t>Darrin Van Huff</t>
  </si>
  <si>
    <t>Los Angeles</t>
  </si>
  <si>
    <t>OFF-LA-10000240</t>
  </si>
  <si>
    <t>Self-Adhesive Address Labels for Typewriters by Universal</t>
  </si>
  <si>
    <t>CA-2017-125206</t>
  </si>
  <si>
    <t>LR-16915</t>
  </si>
  <si>
    <t>Lena Radford</t>
  </si>
  <si>
    <t>OFF-ST-10003692</t>
  </si>
  <si>
    <t>Recycled Steel Personal File for Hanging File Folders</t>
  </si>
  <si>
    <t>CA-2016-126137</t>
  </si>
  <si>
    <t>BS-11755</t>
  </si>
  <si>
    <t>Bruce Stewart</t>
  </si>
  <si>
    <t>FUR-BO-10004409</t>
  </si>
  <si>
    <t>Safco Value Mate Series Steel Bookcases, Baked Enamel Finish on Steel, Gray</t>
  </si>
  <si>
    <t>CA-2016-126347</t>
  </si>
  <si>
    <t>AJ-10945</t>
  </si>
  <si>
    <t>Ashley Jarboe</t>
  </si>
  <si>
    <t>TEC-AC-10003063</t>
  </si>
  <si>
    <t>Micro Innovations USB RF Wireless Keyboard with Mouse</t>
  </si>
  <si>
    <t>US-2018-132297</t>
  </si>
  <si>
    <t>DW-13480</t>
  </si>
  <si>
    <t>Dianna Wilson</t>
  </si>
  <si>
    <t>Louisville</t>
  </si>
  <si>
    <t>OFF-BI-10003364</t>
  </si>
  <si>
    <t>Binding Machine Supplies</t>
  </si>
  <si>
    <t>TEC-PH-10002834</t>
  </si>
  <si>
    <t>Google Nexus 5</t>
  </si>
  <si>
    <t>CA-2015-100328</t>
  </si>
  <si>
    <t>JC-15340</t>
  </si>
  <si>
    <t>Jasper Cacioppo</t>
  </si>
  <si>
    <t>New York City</t>
  </si>
  <si>
    <t>New York</t>
  </si>
  <si>
    <t>OFF-BI-10000343</t>
  </si>
  <si>
    <t>Pressboard Covers with Storage Hooks, 9 1/2" x 11", Light Blue</t>
  </si>
  <si>
    <t>CA-2015-119375</t>
  </si>
  <si>
    <t>YC-21895</t>
  </si>
  <si>
    <t>Yoseph Carroll</t>
  </si>
  <si>
    <t>Newark</t>
  </si>
  <si>
    <t>Delaware</t>
  </si>
  <si>
    <t>OFF-ST-10002011</t>
  </si>
  <si>
    <t>Smead Adjustable Mobile File Trolley with Lockable Top</t>
  </si>
  <si>
    <t>FUR-FU-10002379</t>
  </si>
  <si>
    <t>Eldon Econocleat Chair Mats for Low Pile Carpets</t>
  </si>
  <si>
    <t>OFF-AR-10003752</t>
  </si>
  <si>
    <t>Art</t>
  </si>
  <si>
    <t>Deluxe Chalkboard Eraser Cleaner</t>
  </si>
  <si>
    <t>CA-2017-112123</t>
  </si>
  <si>
    <t>BH-11710</t>
  </si>
  <si>
    <t>Brosina Hoffman</t>
  </si>
  <si>
    <t>OFF-BI-10001071</t>
  </si>
  <si>
    <t>GBC ProClick Punch Binding System</t>
  </si>
  <si>
    <t>TEC-PH-10001557</t>
  </si>
  <si>
    <t>Pyle PMP37LED</t>
  </si>
  <si>
    <t>OFF-PA-10001977</t>
  </si>
  <si>
    <t>Xerox 194</t>
  </si>
  <si>
    <t>CA-2015-104780</t>
  </si>
  <si>
    <t>BT-11530</t>
  </si>
  <si>
    <t>Bradley Talbott</t>
  </si>
  <si>
    <t>San Diego</t>
  </si>
  <si>
    <t>OFF-AR-10003514</t>
  </si>
  <si>
    <t>4009 Highlighters by Sanford</t>
  </si>
  <si>
    <t>CA-2015-154158</t>
  </si>
  <si>
    <t>CC-12670</t>
  </si>
  <si>
    <t>Craig Carreira</t>
  </si>
  <si>
    <t>Tampa</t>
  </si>
  <si>
    <t>OFF-PA-10001295</t>
  </si>
  <si>
    <t>Computer Printout Paper with Letter-Trim Perforations</t>
  </si>
  <si>
    <t>FUR-CH-10004698</t>
  </si>
  <si>
    <t>Padded Folding Chairs, Black, 4/Carton</t>
  </si>
  <si>
    <t>OFF-ST-10000078</t>
  </si>
  <si>
    <t>Tennsco 6- and 18-Compartment Lockers</t>
  </si>
  <si>
    <t>US-2018-120089</t>
  </si>
  <si>
    <t>ML-17755</t>
  </si>
  <si>
    <t>Max Ludwig</t>
  </si>
  <si>
    <t>Toledo</t>
  </si>
  <si>
    <t>Ohio</t>
  </si>
  <si>
    <t>OFF-AP-10003779</t>
  </si>
  <si>
    <t>Kensington 7 Outlet MasterPiece Power Center with Fax/Phone Line Protection</t>
  </si>
  <si>
    <t>CA-2018-119914</t>
  </si>
  <si>
    <t>CC-12220</t>
  </si>
  <si>
    <t>Chris Cortes</t>
  </si>
  <si>
    <t>Westminster</t>
  </si>
  <si>
    <t>OFF-AP-10002684</t>
  </si>
  <si>
    <t>Acco 7-Outlet Masterpiece Power Center, Wihtout Fax/Phone Line Protection</t>
  </si>
  <si>
    <t>Mean</t>
  </si>
  <si>
    <t>Standard Error</t>
  </si>
  <si>
    <t>Median</t>
  </si>
  <si>
    <t>Mode</t>
  </si>
  <si>
    <t>Standard Deviation</t>
  </si>
  <si>
    <t>Sample Variance</t>
  </si>
  <si>
    <t>Kurtosis</t>
  </si>
  <si>
    <t>Skewness</t>
  </si>
  <si>
    <t>Range</t>
  </si>
  <si>
    <t>Minimum</t>
  </si>
  <si>
    <t>Maximum</t>
  </si>
  <si>
    <t>Sum</t>
  </si>
  <si>
    <t>Count</t>
  </si>
  <si>
    <t>Largest(1)</t>
  </si>
  <si>
    <t>Smallest(1)</t>
  </si>
  <si>
    <t>Confidence Level(95.0%)</t>
  </si>
  <si>
    <t>Row Labels</t>
  </si>
  <si>
    <t>Grand Total</t>
  </si>
  <si>
    <t>Sum of sales</t>
  </si>
  <si>
    <t xml:space="preserve">State </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</si>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</sst>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0"/>
      <name val="Calibri"/>
      <family val="2"/>
      <scheme val="minor"/>
    </font>
    <font>
      <i/>
      <sz val="11"/>
      <color theme="1"/>
      <name val="Calibri"/>
      <family val="2"/>
      <scheme val="minor"/>
    </font>
    <font>
      <b/>
      <u/>
      <sz val="11"/>
      <color theme="1"/>
      <name val="Calibri"/>
      <family val="2"/>
      <scheme val="minor"/>
    </font>
    <font>
      <sz val="11"/>
      <color rgb="FFFFFF00"/>
      <name val="Calibri"/>
      <family val="2"/>
      <scheme val="minor"/>
    </font>
  </fonts>
  <fills count="4">
    <fill>
      <patternFill patternType="none"/>
    </fill>
    <fill>
      <patternFill patternType="gray125"/>
    </fill>
    <fill>
      <patternFill patternType="solid">
        <fgColor theme="8"/>
        <bgColor theme="8"/>
      </patternFill>
    </fill>
    <fill>
      <patternFill patternType="solid">
        <fgColor rgb="FFFFFF00"/>
        <bgColor indexed="64"/>
      </patternFill>
    </fill>
  </fills>
  <borders count="9">
    <border>
      <left/>
      <right/>
      <top/>
      <bottom/>
      <diagonal/>
    </border>
    <border>
      <left style="thin">
        <color theme="8"/>
      </left>
      <right/>
      <top style="thin">
        <color theme="8"/>
      </top>
      <bottom/>
      <diagonal/>
    </border>
    <border>
      <left/>
      <right/>
      <top style="thin">
        <color theme="8"/>
      </top>
      <bottom/>
      <diagonal/>
    </border>
    <border>
      <left/>
      <right style="thin">
        <color theme="8"/>
      </right>
      <top style="thin">
        <color theme="8"/>
      </top>
      <bottom/>
      <diagonal/>
    </border>
    <border>
      <left style="thin">
        <color theme="8"/>
      </left>
      <right/>
      <top style="thin">
        <color theme="8"/>
      </top>
      <bottom style="thin">
        <color theme="8"/>
      </bottom>
      <diagonal/>
    </border>
    <border>
      <left/>
      <right/>
      <top style="thin">
        <color theme="8"/>
      </top>
      <bottom style="thin">
        <color theme="8"/>
      </bottom>
      <diagonal/>
    </border>
    <border>
      <left/>
      <right style="thin">
        <color theme="8"/>
      </right>
      <top style="thin">
        <color theme="8"/>
      </top>
      <bottom style="thin">
        <color theme="8"/>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0">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0" fillId="0" borderId="1" xfId="0" applyBorder="1"/>
    <xf numFmtId="14" fontId="0" fillId="0" borderId="2" xfId="0" applyNumberFormat="1" applyBorder="1"/>
    <xf numFmtId="0" fontId="0" fillId="0" borderId="2" xfId="0" applyBorder="1"/>
    <xf numFmtId="0" fontId="0" fillId="0" borderId="3" xfId="0" applyBorder="1"/>
    <xf numFmtId="0" fontId="0" fillId="0" borderId="4" xfId="0" applyBorder="1"/>
    <xf numFmtId="14" fontId="0" fillId="0" borderId="5" xfId="0" applyNumberFormat="1" applyBorder="1"/>
    <xf numFmtId="0" fontId="0" fillId="0" borderId="5" xfId="0" applyBorder="1"/>
    <xf numFmtId="0" fontId="0" fillId="0" borderId="6" xfId="0" applyBorder="1"/>
    <xf numFmtId="14" fontId="0" fillId="0" borderId="0" xfId="0" applyNumberFormat="1"/>
    <xf numFmtId="0" fontId="0" fillId="0" borderId="7" xfId="0" applyBorder="1"/>
    <xf numFmtId="0" fontId="2" fillId="0" borderId="8" xfId="0" applyFont="1" applyBorder="1" applyAlignment="1">
      <alignment horizontal="centerContinuous"/>
    </xf>
    <xf numFmtId="0" fontId="0" fillId="0" borderId="0" xfId="0" pivotButton="1"/>
    <xf numFmtId="0" fontId="0" fillId="0" borderId="0" xfId="0" applyAlignment="1">
      <alignment horizontal="left"/>
    </xf>
    <xf numFmtId="0" fontId="0" fillId="0" borderId="0" xfId="0" applyNumberFormat="1"/>
    <xf numFmtId="0" fontId="3" fillId="0" borderId="0" xfId="0" applyFont="1"/>
    <xf numFmtId="0" fontId="4"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data.xlsx]Pivot1!PivotTable1</c:name>
    <c:fmtId val="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Pivot1!$A$4:$A$19</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Pivot1!$B$4:$B$19</c:f>
              <c:numCache>
                <c:formatCode>General</c:formatCode>
                <c:ptCount val="15"/>
                <c:pt idx="0">
                  <c:v>209.78399999999999</c:v>
                </c:pt>
                <c:pt idx="1">
                  <c:v>1589.7920000000001</c:v>
                </c:pt>
                <c:pt idx="2">
                  <c:v>89.59</c:v>
                </c:pt>
                <c:pt idx="3">
                  <c:v>762.91200000000003</c:v>
                </c:pt>
                <c:pt idx="4">
                  <c:v>382.62599999999998</c:v>
                </c:pt>
                <c:pt idx="5">
                  <c:v>1778.096</c:v>
                </c:pt>
                <c:pt idx="6">
                  <c:v>7.0720000000000001</c:v>
                </c:pt>
                <c:pt idx="7">
                  <c:v>24.064</c:v>
                </c:pt>
                <c:pt idx="8">
                  <c:v>298.09399999999999</c:v>
                </c:pt>
                <c:pt idx="9">
                  <c:v>47.739999999999995</c:v>
                </c:pt>
                <c:pt idx="10">
                  <c:v>719.57600000000002</c:v>
                </c:pt>
                <c:pt idx="11">
                  <c:v>1993.6020000000001</c:v>
                </c:pt>
                <c:pt idx="12">
                  <c:v>6805.1840000000002</c:v>
                </c:pt>
                <c:pt idx="13">
                  <c:v>31.68</c:v>
                </c:pt>
                <c:pt idx="14">
                  <c:v>957.57749999999999</c:v>
                </c:pt>
              </c:numCache>
            </c:numRef>
          </c:val>
          <c:extLst>
            <c:ext xmlns:c16="http://schemas.microsoft.com/office/drawing/2014/chart" uri="{C3380CC4-5D6E-409C-BE32-E72D297353CC}">
              <c16:uniqueId val="{00000000-CE0E-42C4-8CB2-F251A237A5F1}"/>
            </c:ext>
          </c:extLst>
        </c:ser>
        <c:dLbls>
          <c:dLblPos val="outEnd"/>
          <c:showLegendKey val="0"/>
          <c:showVal val="0"/>
          <c:showCatName val="0"/>
          <c:showSerName val="0"/>
          <c:showPercent val="0"/>
          <c:showBubbleSize val="0"/>
        </c:dLbls>
        <c:gapWidth val="100"/>
        <c:overlap val="-24"/>
        <c:axId val="1576113071"/>
        <c:axId val="1576105391"/>
      </c:barChart>
      <c:catAx>
        <c:axId val="157611307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76105391"/>
        <c:crosses val="autoZero"/>
        <c:auto val="1"/>
        <c:lblAlgn val="ctr"/>
        <c:lblOffset val="100"/>
        <c:noMultiLvlLbl val="0"/>
      </c:catAx>
      <c:valAx>
        <c:axId val="157610539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76113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Pivot1!$E$27</c:f>
              <c:strCache>
                <c:ptCount val="1"/>
                <c:pt idx="0">
                  <c:v>Total Sales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cat>
            <c:strRef>
              <c:f>Pivot1!$D$28:$D$38</c:f>
              <c:strCache>
                <c:ptCount val="11"/>
                <c:pt idx="0">
                  <c:v>California</c:v>
                </c:pt>
                <c:pt idx="1">
                  <c:v>Delaware</c:v>
                </c:pt>
                <c:pt idx="2">
                  <c:v>Florida</c:v>
                </c:pt>
                <c:pt idx="3">
                  <c:v>Illinois</c:v>
                </c:pt>
                <c:pt idx="4">
                  <c:v>Kentucky</c:v>
                </c:pt>
                <c:pt idx="5">
                  <c:v>New Jersey</c:v>
                </c:pt>
                <c:pt idx="6">
                  <c:v>New Mexico</c:v>
                </c:pt>
                <c:pt idx="7">
                  <c:v>New York</c:v>
                </c:pt>
                <c:pt idx="8">
                  <c:v>Ohio</c:v>
                </c:pt>
                <c:pt idx="9">
                  <c:v>Texas</c:v>
                </c:pt>
                <c:pt idx="10">
                  <c:v>Wisconsin</c:v>
                </c:pt>
              </c:strCache>
            </c:strRef>
          </c:cat>
          <c:val>
            <c:numRef>
              <c:f>Pivot1!$E$28:$E$38</c:f>
              <c:numCache>
                <c:formatCode>General</c:formatCode>
                <c:ptCount val="11"/>
                <c:pt idx="0">
                  <c:v>1011.018</c:v>
                </c:pt>
                <c:pt idx="1">
                  <c:v>7311.5099999999993</c:v>
                </c:pt>
                <c:pt idx="2">
                  <c:v>1514.5295000000001</c:v>
                </c:pt>
                <c:pt idx="3">
                  <c:v>78.951999999999998</c:v>
                </c:pt>
                <c:pt idx="4">
                  <c:v>2266.8000000000002</c:v>
                </c:pt>
                <c:pt idx="5">
                  <c:v>31.8</c:v>
                </c:pt>
                <c:pt idx="6">
                  <c:v>288.24</c:v>
                </c:pt>
                <c:pt idx="7">
                  <c:v>3.9279999999999999</c:v>
                </c:pt>
                <c:pt idx="8">
                  <c:v>1327.8720000000001</c:v>
                </c:pt>
                <c:pt idx="9">
                  <c:v>1771.8399999999995</c:v>
                </c:pt>
                <c:pt idx="10">
                  <c:v>32.56</c:v>
                </c:pt>
              </c:numCache>
            </c:numRef>
          </c:val>
          <c:extLst>
            <c:ext xmlns:c16="http://schemas.microsoft.com/office/drawing/2014/chart" uri="{C3380CC4-5D6E-409C-BE32-E72D297353CC}">
              <c16:uniqueId val="{00000000-B557-4FAD-9C5B-D7BBC96BA76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data.xlsx]Pivot1!PivotTable1</c:name>
    <c:fmtId val="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Pivot1!$A$4:$A$19</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Pivot1!$B$4:$B$19</c:f>
              <c:numCache>
                <c:formatCode>General</c:formatCode>
                <c:ptCount val="15"/>
                <c:pt idx="0">
                  <c:v>209.78399999999999</c:v>
                </c:pt>
                <c:pt idx="1">
                  <c:v>1589.7920000000001</c:v>
                </c:pt>
                <c:pt idx="2">
                  <c:v>89.59</c:v>
                </c:pt>
                <c:pt idx="3">
                  <c:v>762.91200000000003</c:v>
                </c:pt>
                <c:pt idx="4">
                  <c:v>382.62599999999998</c:v>
                </c:pt>
                <c:pt idx="5">
                  <c:v>1778.096</c:v>
                </c:pt>
                <c:pt idx="6">
                  <c:v>7.0720000000000001</c:v>
                </c:pt>
                <c:pt idx="7">
                  <c:v>24.064</c:v>
                </c:pt>
                <c:pt idx="8">
                  <c:v>298.09399999999999</c:v>
                </c:pt>
                <c:pt idx="9">
                  <c:v>47.739999999999995</c:v>
                </c:pt>
                <c:pt idx="10">
                  <c:v>719.57600000000002</c:v>
                </c:pt>
                <c:pt idx="11">
                  <c:v>1993.6020000000001</c:v>
                </c:pt>
                <c:pt idx="12">
                  <c:v>6805.1840000000002</c:v>
                </c:pt>
                <c:pt idx="13">
                  <c:v>31.68</c:v>
                </c:pt>
                <c:pt idx="14">
                  <c:v>957.57749999999999</c:v>
                </c:pt>
              </c:numCache>
            </c:numRef>
          </c:val>
          <c:extLst>
            <c:ext xmlns:c16="http://schemas.microsoft.com/office/drawing/2014/chart" uri="{C3380CC4-5D6E-409C-BE32-E72D297353CC}">
              <c16:uniqueId val="{00000000-ED72-4B26-ACE0-7A4CE8AE422F}"/>
            </c:ext>
          </c:extLst>
        </c:ser>
        <c:dLbls>
          <c:showLegendKey val="0"/>
          <c:showVal val="0"/>
          <c:showCatName val="0"/>
          <c:showSerName val="0"/>
          <c:showPercent val="0"/>
          <c:showBubbleSize val="0"/>
        </c:dLbls>
        <c:gapWidth val="100"/>
        <c:overlap val="-24"/>
        <c:axId val="1576113071"/>
        <c:axId val="1576105391"/>
      </c:barChart>
      <c:catAx>
        <c:axId val="157611307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76105391"/>
        <c:crosses val="autoZero"/>
        <c:auto val="1"/>
        <c:lblAlgn val="ctr"/>
        <c:lblOffset val="100"/>
        <c:noMultiLvlLbl val="0"/>
      </c:catAx>
      <c:valAx>
        <c:axId val="157610539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76113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Pivot1!$E$27</c:f>
              <c:strCache>
                <c:ptCount val="1"/>
                <c:pt idx="0">
                  <c:v>Total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BF-4EC9-BF15-7925A1CE38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BF-4EC9-BF15-7925A1CE38B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EBF-4EC9-BF15-7925A1CE38B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EBF-4EC9-BF15-7925A1CE38B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EBF-4EC9-BF15-7925A1CE38B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EBF-4EC9-BF15-7925A1CE38B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EBF-4EC9-BF15-7925A1CE38B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EBF-4EC9-BF15-7925A1CE38B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EBF-4EC9-BF15-7925A1CE38B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DEBF-4EC9-BF15-7925A1CE38B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DEBF-4EC9-BF15-7925A1CE38B1}"/>
              </c:ext>
            </c:extLst>
          </c:dPt>
          <c:cat>
            <c:strRef>
              <c:f>Pivot1!$D$28:$D$38</c:f>
              <c:strCache>
                <c:ptCount val="11"/>
                <c:pt idx="0">
                  <c:v>California</c:v>
                </c:pt>
                <c:pt idx="1">
                  <c:v>Delaware</c:v>
                </c:pt>
                <c:pt idx="2">
                  <c:v>Florida</c:v>
                </c:pt>
                <c:pt idx="3">
                  <c:v>Illinois</c:v>
                </c:pt>
                <c:pt idx="4">
                  <c:v>Kentucky</c:v>
                </c:pt>
                <c:pt idx="5">
                  <c:v>New Jersey</c:v>
                </c:pt>
                <c:pt idx="6">
                  <c:v>New Mexico</c:v>
                </c:pt>
                <c:pt idx="7">
                  <c:v>New York</c:v>
                </c:pt>
                <c:pt idx="8">
                  <c:v>Ohio</c:v>
                </c:pt>
                <c:pt idx="9">
                  <c:v>Texas</c:v>
                </c:pt>
                <c:pt idx="10">
                  <c:v>Wisconsin</c:v>
                </c:pt>
              </c:strCache>
            </c:strRef>
          </c:cat>
          <c:val>
            <c:numRef>
              <c:f>Pivot1!$E$28:$E$38</c:f>
              <c:numCache>
                <c:formatCode>General</c:formatCode>
                <c:ptCount val="11"/>
                <c:pt idx="0">
                  <c:v>1011.018</c:v>
                </c:pt>
                <c:pt idx="1">
                  <c:v>7311.5099999999993</c:v>
                </c:pt>
                <c:pt idx="2">
                  <c:v>1514.5295000000001</c:v>
                </c:pt>
                <c:pt idx="3">
                  <c:v>78.951999999999998</c:v>
                </c:pt>
                <c:pt idx="4">
                  <c:v>2266.8000000000002</c:v>
                </c:pt>
                <c:pt idx="5">
                  <c:v>31.8</c:v>
                </c:pt>
                <c:pt idx="6">
                  <c:v>288.24</c:v>
                </c:pt>
                <c:pt idx="7">
                  <c:v>3.9279999999999999</c:v>
                </c:pt>
                <c:pt idx="8">
                  <c:v>1327.8720000000001</c:v>
                </c:pt>
                <c:pt idx="9">
                  <c:v>1771.8399999999995</c:v>
                </c:pt>
                <c:pt idx="10">
                  <c:v>32.56</c:v>
                </c:pt>
              </c:numCache>
            </c:numRef>
          </c:val>
          <c:extLst>
            <c:ext xmlns:c16="http://schemas.microsoft.com/office/drawing/2014/chart" uri="{C3380CC4-5D6E-409C-BE32-E72D297353CC}">
              <c16:uniqueId val="{00000016-DEBF-4EC9-BF15-7925A1CE38B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520700</xdr:colOff>
      <xdr:row>2</xdr:row>
      <xdr:rowOff>6350</xdr:rowOff>
    </xdr:from>
    <xdr:to>
      <xdr:col>11</xdr:col>
      <xdr:colOff>215900</xdr:colOff>
      <xdr:row>16</xdr:row>
      <xdr:rowOff>171450</xdr:rowOff>
    </xdr:to>
    <xdr:graphicFrame macro="">
      <xdr:nvGraphicFramePr>
        <xdr:cNvPr id="2" name="Chart 1">
          <a:extLst>
            <a:ext uri="{FF2B5EF4-FFF2-40B4-BE49-F238E27FC236}">
              <a16:creationId xmlns:a16="http://schemas.microsoft.com/office/drawing/2014/main" id="{BA4A7F7E-7221-0EC8-32E2-D3C8F7BFBF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38100</xdr:colOff>
      <xdr:row>0</xdr:row>
      <xdr:rowOff>127001</xdr:rowOff>
    </xdr:from>
    <xdr:to>
      <xdr:col>14</xdr:col>
      <xdr:colOff>387350</xdr:colOff>
      <xdr:row>8</xdr:row>
      <xdr:rowOff>31750</xdr:rowOff>
    </xdr:to>
    <mc:AlternateContent xmlns:mc="http://schemas.openxmlformats.org/markup-compatibility/2006">
      <mc:Choice xmlns:a14="http://schemas.microsoft.com/office/drawing/2010/main" Requires="a14">
        <xdr:graphicFrame macro="">
          <xdr:nvGraphicFramePr>
            <xdr:cNvPr id="3" name="segment">
              <a:extLst>
                <a:ext uri="{FF2B5EF4-FFF2-40B4-BE49-F238E27FC236}">
                  <a16:creationId xmlns:a16="http://schemas.microsoft.com/office/drawing/2014/main" id="{ECF6CEEC-15B3-986E-3646-E0462FC14E4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7778750" y="127001"/>
              <a:ext cx="1568450" cy="1377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19050</xdr:colOff>
      <xdr:row>8</xdr:row>
      <xdr:rowOff>76201</xdr:rowOff>
    </xdr:from>
    <xdr:to>
      <xdr:col>14</xdr:col>
      <xdr:colOff>387350</xdr:colOff>
      <xdr:row>15</xdr:row>
      <xdr:rowOff>57150</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8413158C-797B-F38B-E75B-E2C3C10E758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759700" y="1549401"/>
              <a:ext cx="1587500" cy="1269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327025</xdr:colOff>
      <xdr:row>22</xdr:row>
      <xdr:rowOff>142875</xdr:rowOff>
    </xdr:from>
    <xdr:to>
      <xdr:col>13</xdr:col>
      <xdr:colOff>22225</xdr:colOff>
      <xdr:row>37</xdr:row>
      <xdr:rowOff>123825</xdr:rowOff>
    </xdr:to>
    <xdr:graphicFrame macro="">
      <xdr:nvGraphicFramePr>
        <xdr:cNvPr id="6" name="Chart 5">
          <a:extLst>
            <a:ext uri="{FF2B5EF4-FFF2-40B4-BE49-F238E27FC236}">
              <a16:creationId xmlns:a16="http://schemas.microsoft.com/office/drawing/2014/main" id="{5D0E7592-5647-9E7E-16BD-197E345D3B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603250</xdr:colOff>
      <xdr:row>15</xdr:row>
      <xdr:rowOff>127000</xdr:rowOff>
    </xdr:from>
    <xdr:to>
      <xdr:col>16</xdr:col>
      <xdr:colOff>381000</xdr:colOff>
      <xdr:row>21</xdr:row>
      <xdr:rowOff>69850</xdr:rowOff>
    </xdr:to>
    <mc:AlternateContent xmlns:mc="http://schemas.openxmlformats.org/markup-compatibility/2006">
      <mc:Choice xmlns:tsle="http://schemas.microsoft.com/office/drawing/2012/timeslicer" Requires="tsle">
        <xdr:graphicFrame macro="">
          <xdr:nvGraphicFramePr>
            <xdr:cNvPr id="7" name="order_date">
              <a:extLst>
                <a:ext uri="{FF2B5EF4-FFF2-40B4-BE49-F238E27FC236}">
                  <a16:creationId xmlns:a16="http://schemas.microsoft.com/office/drawing/2014/main" id="{394C27F7-4010-7E3D-2EF7-274DE598C535}"/>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7734300" y="2889250"/>
              <a:ext cx="2825750" cy="10477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361950</xdr:colOff>
      <xdr:row>3</xdr:row>
      <xdr:rowOff>171450</xdr:rowOff>
    </xdr:from>
    <xdr:to>
      <xdr:col>8</xdr:col>
      <xdr:colOff>57150</xdr:colOff>
      <xdr:row>18</xdr:row>
      <xdr:rowOff>152400</xdr:rowOff>
    </xdr:to>
    <xdr:graphicFrame macro="">
      <xdr:nvGraphicFramePr>
        <xdr:cNvPr id="2" name="Chart 1">
          <a:extLst>
            <a:ext uri="{FF2B5EF4-FFF2-40B4-BE49-F238E27FC236}">
              <a16:creationId xmlns:a16="http://schemas.microsoft.com/office/drawing/2014/main" id="{5AE81294-5D2F-4185-A58C-ABF0F6275B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393700</xdr:colOff>
      <xdr:row>2</xdr:row>
      <xdr:rowOff>120650</xdr:rowOff>
    </xdr:from>
    <xdr:to>
      <xdr:col>10</xdr:col>
      <xdr:colOff>558800</xdr:colOff>
      <xdr:row>11</xdr:row>
      <xdr:rowOff>69850</xdr:rowOff>
    </xdr:to>
    <mc:AlternateContent xmlns:mc="http://schemas.openxmlformats.org/markup-compatibility/2006">
      <mc:Choice xmlns:a14="http://schemas.microsoft.com/office/drawing/2010/main" Requires="a14">
        <xdr:graphicFrame macro="">
          <xdr:nvGraphicFramePr>
            <xdr:cNvPr id="3" name="segment 1">
              <a:extLst>
                <a:ext uri="{FF2B5EF4-FFF2-40B4-BE49-F238E27FC236}">
                  <a16:creationId xmlns:a16="http://schemas.microsoft.com/office/drawing/2014/main" id="{D233FFD3-2F39-4BE4-9EA1-40E866B6EE22}"/>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5270500" y="488950"/>
              <a:ext cx="1384300" cy="1606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342900</xdr:colOff>
      <xdr:row>12</xdr:row>
      <xdr:rowOff>6350</xdr:rowOff>
    </xdr:from>
    <xdr:to>
      <xdr:col>10</xdr:col>
      <xdr:colOff>584200</xdr:colOff>
      <xdr:row>20</xdr:row>
      <xdr:rowOff>107950</xdr:rowOff>
    </xdr:to>
    <mc:AlternateContent xmlns:mc="http://schemas.openxmlformats.org/markup-compatibility/2006">
      <mc:Choice xmlns:a14="http://schemas.microsoft.com/office/drawing/2010/main" Requires="a14">
        <xdr:graphicFrame macro="">
          <xdr:nvGraphicFramePr>
            <xdr:cNvPr id="4" name="category 1">
              <a:extLst>
                <a:ext uri="{FF2B5EF4-FFF2-40B4-BE49-F238E27FC236}">
                  <a16:creationId xmlns:a16="http://schemas.microsoft.com/office/drawing/2014/main" id="{D5A11D9B-F1CD-47B5-9C45-301600EFE06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5219700" y="2216150"/>
              <a:ext cx="1460500" cy="1574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234950</xdr:colOff>
      <xdr:row>3</xdr:row>
      <xdr:rowOff>127000</xdr:rowOff>
    </xdr:from>
    <xdr:to>
      <xdr:col>18</xdr:col>
      <xdr:colOff>539750</xdr:colOff>
      <xdr:row>18</xdr:row>
      <xdr:rowOff>107950</xdr:rowOff>
    </xdr:to>
    <xdr:graphicFrame macro="">
      <xdr:nvGraphicFramePr>
        <xdr:cNvPr id="5" name="Chart 4">
          <a:extLst>
            <a:ext uri="{FF2B5EF4-FFF2-40B4-BE49-F238E27FC236}">
              <a16:creationId xmlns:a16="http://schemas.microsoft.com/office/drawing/2014/main" id="{70B294E0-E9AC-4515-BBE7-5BA8FC6763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400050</xdr:colOff>
      <xdr:row>21</xdr:row>
      <xdr:rowOff>12700</xdr:rowOff>
    </xdr:from>
    <xdr:to>
      <xdr:col>11</xdr:col>
      <xdr:colOff>558800</xdr:colOff>
      <xdr:row>27</xdr:row>
      <xdr:rowOff>31750</xdr:rowOff>
    </xdr:to>
    <mc:AlternateContent xmlns:mc="http://schemas.openxmlformats.org/markup-compatibility/2006">
      <mc:Choice xmlns:tsle="http://schemas.microsoft.com/office/drawing/2012/timeslicer" Requires="tsle">
        <xdr:graphicFrame macro="">
          <xdr:nvGraphicFramePr>
            <xdr:cNvPr id="6" name="order_date 1">
              <a:extLst>
                <a:ext uri="{FF2B5EF4-FFF2-40B4-BE49-F238E27FC236}">
                  <a16:creationId xmlns:a16="http://schemas.microsoft.com/office/drawing/2014/main" id="{D6A2B7A0-4F86-443E-BB74-DD6468DDD2D8}"/>
                </a:ext>
              </a:extLst>
            </xdr:cNvPr>
            <xdr:cNvGraphicFramePr/>
          </xdr:nvGraphicFramePr>
          <xdr:xfrm>
            <a:off x="0" y="0"/>
            <a:ext cx="0" cy="0"/>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4667250" y="3879850"/>
              <a:ext cx="2597150" cy="11239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IT" refreshedDate="46287.464705324077" createdVersion="8" refreshedVersion="8" minRefreshableVersion="3" recordCount="51" xr:uid="{D9CF71A8-0E84-4B3B-AE4B-B891058CD79C}">
  <cacheSource type="worksheet">
    <worksheetSource ref="A1:T1048576" sheet="Cleaned Data"/>
  </cacheSource>
  <cacheFields count="20">
    <cacheField name="order_id" numFmtId="0">
      <sharedItems containsBlank="1"/>
    </cacheField>
    <cacheField name="order_date" numFmtId="0">
      <sharedItems containsNonDate="0" containsDate="1" containsString="0" containsBlank="1" minDate="2019-01-27T00:00:00" maxDate="2022-12-25T00:00:00" count="26">
        <d v="2022-03-12T00:00:00"/>
        <d v="2022-09-03T00:00:00"/>
        <d v="2020-08-22T00:00:00"/>
        <d v="2021-05-09T00:00:00"/>
        <d v="2022-02-25T00:00:00"/>
        <d v="2019-07-19T00:00:00"/>
        <d v="2022-12-24T00:00:00"/>
        <d v="2022-12-16T00:00:00"/>
        <d v="2020-10-10T00:00:00"/>
        <d v="2022-04-26T00:00:00"/>
        <d v="2021-11-07T00:00:00"/>
        <d v="2022-03-30T00:00:00"/>
        <d v="2022-02-08T00:00:00"/>
        <d v="2021-06-11T00:00:00"/>
        <d v="2021-01-02T00:00:00"/>
        <d v="2020-10-02T00:00:00"/>
        <d v="2020-12-13T00:00:00"/>
        <d v="2022-05-26T00:00:00"/>
        <d v="2019-01-27T00:00:00"/>
        <d v="2019-11-16T00:00:00"/>
        <d v="2021-03-02T00:00:00"/>
        <d v="2019-05-20T00:00:00"/>
        <d v="2019-12-22T00:00:00"/>
        <d v="2022-11-29T00:00:00"/>
        <d v="2022-05-03T00:00:00"/>
        <m/>
      </sharedItems>
    </cacheField>
    <cacheField name="ship_date" numFmtId="0">
      <sharedItems containsNonDate="0" containsDate="1" containsString="0" containsBlank="1" minDate="2019-02-02T00:00:00" maxDate="2022-12-29T00:00:00"/>
    </cacheField>
    <cacheField name="ship_mode" numFmtId="0">
      <sharedItems containsBlank="1"/>
    </cacheField>
    <cacheField name="customer_id" numFmtId="0">
      <sharedItems containsBlank="1"/>
    </cacheField>
    <cacheField name="customer_name" numFmtId="0">
      <sharedItems containsBlank="1"/>
    </cacheField>
    <cacheField name="segment" numFmtId="0">
      <sharedItems containsBlank="1" count="4">
        <s v="Home Office"/>
        <s v="Consumer"/>
        <s v="Corporate"/>
        <m/>
      </sharedItems>
    </cacheField>
    <cacheField name="country" numFmtId="0">
      <sharedItems containsBlank="1"/>
    </cacheField>
    <cacheField name="city" numFmtId="0">
      <sharedItems containsBlank="1"/>
    </cacheField>
    <cacheField name="state" numFmtId="0">
      <sharedItems containsBlank="1" count="12">
        <s v="New Mexico"/>
        <s v="California"/>
        <s v="Illinois"/>
        <s v="Texas"/>
        <s v="New Jersey"/>
        <s v="Wisconsin"/>
        <s v="Florida"/>
        <s v="Kentucky"/>
        <m/>
        <s v="New York"/>
        <s v="Delaware"/>
        <s v="Ohio"/>
      </sharedItems>
    </cacheField>
    <cacheField name="postal_code" numFmtId="0">
      <sharedItems containsString="0" containsBlank="1" containsNumber="1" containsInteger="1" minValue="7017" maxValue="92683"/>
    </cacheField>
    <cacheField name="region" numFmtId="0">
      <sharedItems containsBlank="1"/>
    </cacheField>
    <cacheField name="product_id" numFmtId="0">
      <sharedItems containsBlank="1"/>
    </cacheField>
    <cacheField name="category" numFmtId="0">
      <sharedItems containsBlank="1" count="4">
        <s v="Office Supplies"/>
        <s v="Technology"/>
        <s v="Furniture"/>
        <m/>
      </sharedItems>
    </cacheField>
    <cacheField name="sub_category" numFmtId="0">
      <sharedItems containsBlank="1" count="16">
        <s v="Paper"/>
        <s v="Phones"/>
        <s v="Supplies"/>
        <s v="Fasteners"/>
        <s v="Appliances"/>
        <s v="Envelopes"/>
        <s v="Furnishings"/>
        <s v="Storage"/>
        <s v="Chairs"/>
        <s v="Accessories"/>
        <s v="Tables"/>
        <s v="Labels"/>
        <s v="Bookcases"/>
        <s v="Binders"/>
        <s v="Art"/>
        <m/>
      </sharedItems>
    </cacheField>
    <cacheField name="product_name" numFmtId="0">
      <sharedItems containsBlank="1"/>
    </cacheField>
    <cacheField name="sales" numFmtId="0">
      <sharedItems containsString="0" containsBlank="1" containsNumber="1" minValue="3.9279999999999999" maxValue="2934.33"/>
    </cacheField>
    <cacheField name="profit" numFmtId="0">
      <sharedItems containsString="0" containsBlank="1" containsNumber="1" minValue="-417.09359999999998" maxValue="792.26909999999998"/>
    </cacheField>
    <cacheField name="quantity" numFmtId="0">
      <sharedItems containsString="0" containsBlank="1" containsNumber="1" containsInteger="1" minValue="1" maxValue="8"/>
    </cacheField>
    <cacheField name="discount" numFmtId="0">
      <sharedItems containsString="0" containsBlank="1" containsNumber="1" minValue="0" maxValue="0.8"/>
    </cacheField>
  </cacheFields>
  <extLst>
    <ext xmlns:x14="http://schemas.microsoft.com/office/spreadsheetml/2009/9/main" uri="{725AE2AE-9491-48be-B2B4-4EB974FC3084}">
      <x14:pivotCacheDefinition pivotCacheId="19628123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s v="CA-2018-106859"/>
    <x v="0"/>
    <d v="2022-03-17T00:00:00"/>
    <s v="Second Class"/>
    <s v="BF-11215"/>
    <s v="Benjamin Farhat"/>
    <x v="0"/>
    <s v="United States"/>
    <s v="Albuquerque"/>
    <x v="0"/>
    <n v="87105"/>
    <s v="West"/>
    <s v="OFF-PA-10001815"/>
    <x v="0"/>
    <x v="0"/>
    <s v="Xerox 1885"/>
    <n v="288.24"/>
    <n v="138.3552"/>
    <n v="6"/>
    <n v="0"/>
  </r>
  <r>
    <s v="CA-2018-101182"/>
    <x v="1"/>
    <d v="2022-09-04T00:00:00"/>
    <s v="First Class"/>
    <s v="KB-16405"/>
    <s v="Katrina Bavinger"/>
    <x v="0"/>
    <s v="United States"/>
    <s v="Apple Valley"/>
    <x v="1"/>
    <n v="92307"/>
    <s v="West"/>
    <s v="OFF-PA-10001800"/>
    <x v="0"/>
    <x v="0"/>
    <s v="Xerox 220"/>
    <n v="12.96"/>
    <n v="6.2207999999999997"/>
    <n v="2"/>
    <n v="0"/>
  </r>
  <r>
    <s v="CA-2018-101182"/>
    <x v="1"/>
    <d v="2022-09-04T00:00:00"/>
    <s v="First Class"/>
    <s v="KB-16405"/>
    <s v="Katrina Bavinger"/>
    <x v="0"/>
    <s v="United States"/>
    <s v="Apple Valley"/>
    <x v="1"/>
    <n v="92307"/>
    <s v="West"/>
    <s v="TEC-PH-10003589"/>
    <x v="1"/>
    <x v="1"/>
    <s v="invisibleSHIELD by ZAGG Smudge-Free Screen Protector"/>
    <n v="43.176000000000002"/>
    <n v="15.111599999999999"/>
    <n v="3"/>
    <n v="0.2"/>
  </r>
  <r>
    <s v="CA-2016-114468"/>
    <x v="2"/>
    <d v="2020-08-22T00:00:00"/>
    <s v="Same Day"/>
    <s v="TD-20995"/>
    <s v="Tamara Dahlen"/>
    <x v="1"/>
    <s v="United States"/>
    <s v="Bolingbrook"/>
    <x v="2"/>
    <n v="60440"/>
    <s v="Central"/>
    <s v="OFF-SU-10004231"/>
    <x v="0"/>
    <x v="2"/>
    <s v="Acme Tagit Stainless Steel Antibacterial Scissors"/>
    <n v="31.68"/>
    <n v="2.7719999999999998"/>
    <n v="4"/>
    <n v="0.2"/>
  </r>
  <r>
    <s v="CA-2016-114468"/>
    <x v="2"/>
    <d v="2020-08-22T00:00:00"/>
    <s v="Same Day"/>
    <s v="TD-20995"/>
    <s v="Tamara Dahlen"/>
    <x v="1"/>
    <s v="United States"/>
    <s v="Bolingbrook"/>
    <x v="2"/>
    <n v="60440"/>
    <s v="Central"/>
    <s v="OFF-PA-10000809"/>
    <x v="0"/>
    <x v="0"/>
    <s v="Xerox 206"/>
    <n v="10.368"/>
    <n v="3.6288"/>
    <n v="2"/>
    <n v="0.2"/>
  </r>
  <r>
    <s v="CA-2016-114468"/>
    <x v="2"/>
    <d v="2020-08-22T00:00:00"/>
    <s v="Same Day"/>
    <s v="TD-20995"/>
    <s v="Tamara Dahlen"/>
    <x v="1"/>
    <s v="United States"/>
    <s v="Bolingbrook"/>
    <x v="2"/>
    <n v="60440"/>
    <s v="Central"/>
    <s v="OFF-FA-10003021"/>
    <x v="0"/>
    <x v="3"/>
    <s v="Staples"/>
    <n v="12.032"/>
    <n v="2.2559999999999998"/>
    <n v="8"/>
    <n v="0.2"/>
  </r>
  <r>
    <s v="CA-2016-114468"/>
    <x v="2"/>
    <d v="2020-08-22T00:00:00"/>
    <s v="Same Day"/>
    <s v="TD-20995"/>
    <s v="Tamara Dahlen"/>
    <x v="1"/>
    <s v="United States"/>
    <s v="Bolingbrook"/>
    <x v="2"/>
    <n v="60440"/>
    <s v="Central"/>
    <s v="OFF-AP-10000696"/>
    <x v="0"/>
    <x v="4"/>
    <s v="Holmes Odor Grabber"/>
    <n v="5.7679999999999998"/>
    <n v="-13.5548"/>
    <n v="2"/>
    <n v="0.8"/>
  </r>
  <r>
    <s v="CA-2016-114468"/>
    <x v="2"/>
    <d v="2020-08-22T00:00:00"/>
    <s v="Same Day"/>
    <s v="TD-20995"/>
    <s v="Tamara Dahlen"/>
    <x v="1"/>
    <s v="United States"/>
    <s v="Bolingbrook"/>
    <x v="2"/>
    <n v="60440"/>
    <s v="Central"/>
    <s v="OFF-FA-10003021"/>
    <x v="0"/>
    <x v="3"/>
    <s v="Staples"/>
    <n v="12.032"/>
    <n v="2.2559999999999998"/>
    <n v="8"/>
    <n v="0.2"/>
  </r>
  <r>
    <s v="CA-2017-117625"/>
    <x v="3"/>
    <d v="2021-05-14T00:00:00"/>
    <s v="Standard Class"/>
    <s v="GM-14500"/>
    <s v="Gene McClure"/>
    <x v="1"/>
    <s v="United States"/>
    <s v="Chicago"/>
    <x v="2"/>
    <n v="60610"/>
    <s v="Central"/>
    <s v="OFF-EN-10001535"/>
    <x v="0"/>
    <x v="5"/>
    <s v="Grip Seal Envelopes"/>
    <n v="7.0720000000000001"/>
    <n v="2.3868"/>
    <n v="2"/>
    <n v="0.2"/>
  </r>
  <r>
    <s v="CA-2018-121258"/>
    <x v="4"/>
    <d v="2022-03-02T00:00:00"/>
    <s v="Standard Class"/>
    <s v="DB-13060"/>
    <s v="Dave Brooks"/>
    <x v="1"/>
    <s v="United States"/>
    <s v="Costa Mesa"/>
    <x v="1"/>
    <n v="92627"/>
    <s v="West"/>
    <s v="FUR-FU-10000747"/>
    <x v="2"/>
    <x v="6"/>
    <s v="Tenex B1-RE Series Chair Mats for Low Pile Carpets"/>
    <n v="91.96"/>
    <n v="15.6332"/>
    <n v="2"/>
    <n v="0"/>
  </r>
  <r>
    <s v="CA-2018-121258"/>
    <x v="4"/>
    <d v="2022-03-02T00:00:00"/>
    <s v="Standard Class"/>
    <s v="DB-13060"/>
    <s v="Dave Brooks"/>
    <x v="1"/>
    <s v="United States"/>
    <s v="Costa Mesa"/>
    <x v="1"/>
    <n v="92627"/>
    <s v="West"/>
    <s v="TEC-PH-10003645"/>
    <x v="1"/>
    <x v="1"/>
    <s v="Aastra 57i VoIP phone"/>
    <n v="258.57600000000002"/>
    <n v="19.3932"/>
    <n v="2"/>
    <n v="0.2"/>
  </r>
  <r>
    <s v="CA-2018-121258"/>
    <x v="4"/>
    <d v="2022-03-02T00:00:00"/>
    <s v="Standard Class"/>
    <s v="DB-13060"/>
    <s v="Dave Brooks"/>
    <x v="1"/>
    <s v="United States"/>
    <s v="Costa Mesa"/>
    <x v="1"/>
    <n v="92627"/>
    <s v="West"/>
    <s v="OFF-PA-10004041"/>
    <x v="0"/>
    <x v="0"/>
    <s v="It's Hot Message Books with Stickers, 2 3/4&quot; x 5&quot;"/>
    <n v="29.6"/>
    <n v="13.32"/>
    <n v="4"/>
    <n v="0"/>
  </r>
  <r>
    <s v="CA-2015-143903"/>
    <x v="5"/>
    <d v="2019-07-23T00:00:00"/>
    <s v="Standard Class"/>
    <s v="KM-16375"/>
    <s v="Katherine Murray"/>
    <x v="0"/>
    <s v="United States"/>
    <s v="Dallas"/>
    <x v="3"/>
    <n v="75217"/>
    <s v="Central"/>
    <s v="OFF-ST-10003306"/>
    <x v="0"/>
    <x v="7"/>
    <s v="Letter Size Cart"/>
    <n v="342.86399999999998"/>
    <n v="38.572200000000002"/>
    <n v="3"/>
    <n v="0.2"/>
  </r>
  <r>
    <s v="CA-2015-143903"/>
    <x v="5"/>
    <d v="2019-07-23T00:00:00"/>
    <s v="Standard Class"/>
    <s v="KM-16375"/>
    <s v="Katherine Murray"/>
    <x v="0"/>
    <s v="United States"/>
    <s v="Dallas"/>
    <x v="3"/>
    <n v="75217"/>
    <s v="Central"/>
    <s v="FUR-FU-10003724"/>
    <x v="2"/>
    <x v="6"/>
    <s v="Westinghouse Clip-On Gooseneck Lamps"/>
    <n v="16.739999999999998"/>
    <n v="-14.228999999999999"/>
    <n v="5"/>
    <n v="0.6"/>
  </r>
  <r>
    <s v="CA-2015-143903"/>
    <x v="5"/>
    <d v="2019-07-23T00:00:00"/>
    <s v="Standard Class"/>
    <s v="KM-16375"/>
    <s v="Katherine Murray"/>
    <x v="0"/>
    <s v="United States"/>
    <s v="Dallas"/>
    <x v="3"/>
    <n v="75217"/>
    <s v="Central"/>
    <s v="FUR-CH-10002024"/>
    <x v="2"/>
    <x v="8"/>
    <s v="HON 5400 Series Task Chairs for Big and Tall"/>
    <n v="981.37199999999996"/>
    <n v="-140.196"/>
    <n v="2"/>
    <n v="0.3"/>
  </r>
  <r>
    <s v="CA-2018-108756"/>
    <x v="6"/>
    <d v="2022-12-28T00:00:00"/>
    <s v="Standard Class"/>
    <s v="PO-18865"/>
    <s v="Patrick O'Donnell"/>
    <x v="1"/>
    <s v="United States"/>
    <s v="East Orange"/>
    <x v="4"/>
    <n v="7017"/>
    <s v="East"/>
    <s v="TEC-AC-10003237"/>
    <x v="1"/>
    <x v="9"/>
    <s v="Memorex Micro Travel Drive 4 GB"/>
    <n v="31.8"/>
    <n v="13.673999999999999"/>
    <n v="3"/>
    <n v="0"/>
  </r>
  <r>
    <s v="CA-2018-155362"/>
    <x v="7"/>
    <d v="2022-12-20T00:00:00"/>
    <s v="Standard Class"/>
    <s v="DP-13105"/>
    <s v="Dave Poirier"/>
    <x v="2"/>
    <s v="United States"/>
    <s v="Eau Claire"/>
    <x v="5"/>
    <n v="54703"/>
    <s v="Central"/>
    <s v="OFF-ST-10001031"/>
    <x v="0"/>
    <x v="7"/>
    <s v="Adjustable Personal File Tote"/>
    <n v="32.56"/>
    <n v="8.4656000000000002"/>
    <n v="2"/>
    <n v="0"/>
  </r>
  <r>
    <s v="US-2016-108966"/>
    <x v="8"/>
    <d v="2020-10-17T00:00:00"/>
    <s v="Standard Class"/>
    <s v="SO-20335"/>
    <m/>
    <x v="1"/>
    <s v="United States"/>
    <s v="Fort Lauderdale"/>
    <x v="6"/>
    <n v="33311"/>
    <s v="South"/>
    <s v="FUR-TA-10000577"/>
    <x v="2"/>
    <x v="10"/>
    <s v="Bretford CR4500 Series Slim Rectangular Table"/>
    <n v="957.57749999999999"/>
    <n v="-383.03100000000001"/>
    <n v="5"/>
    <n v="0.45"/>
  </r>
  <r>
    <s v="US-2016-108966"/>
    <x v="8"/>
    <d v="2020-10-17T00:00:00"/>
    <s v="Standard Class"/>
    <s v="SO-20335"/>
    <s v="Sean O'Donnell"/>
    <x v="1"/>
    <s v="United States"/>
    <s v="Fort Lauderdale"/>
    <x v="6"/>
    <n v="33311"/>
    <s v="South"/>
    <s v="OFF-ST-10000760"/>
    <x v="0"/>
    <x v="7"/>
    <s v="Eldon Fold 'N Roll Cart System"/>
    <n v="22.367999999999999"/>
    <n v="2.5164"/>
    <n v="2"/>
    <n v="0.2"/>
  </r>
  <r>
    <s v="CA-2018-135692"/>
    <x v="9"/>
    <d v="2022-04-30T00:00:00"/>
    <s v="Standard Class"/>
    <s v="CV-12805"/>
    <s v="Cynthia Voltz"/>
    <x v="2"/>
    <s v="United States"/>
    <s v="Fort Worth"/>
    <x v="3"/>
    <n v="76106"/>
    <s v="Central"/>
    <s v="OFF-LA-10001158"/>
    <x v="0"/>
    <x v="11"/>
    <s v="Avery Address/Shipping Labels for Typewriters, 4&quot; x 2&quot;"/>
    <n v="33.119999999999997"/>
    <n v="11.592000000000001"/>
    <n v="4"/>
    <n v="0.2"/>
  </r>
  <r>
    <s v="CA-2017-152156"/>
    <x v="10"/>
    <d v="2021-11-10T00:00:00"/>
    <s v="Second Class"/>
    <s v="CG-12520"/>
    <s v="Claire Gute"/>
    <x v="1"/>
    <s v="United States"/>
    <s v="Henderson"/>
    <x v="7"/>
    <n v="42420"/>
    <s v="South"/>
    <s v="FUR-BO-10001798"/>
    <x v="2"/>
    <x v="12"/>
    <s v="Bush Somerset Collection Bookcase"/>
    <n v="261.95999999999998"/>
    <n v="41.913600000000002"/>
    <n v="2"/>
    <n v="0"/>
  </r>
  <r>
    <s v="CA-2017-152156"/>
    <x v="10"/>
    <d v="2021-11-10T00:00:00"/>
    <s v="Second Class"/>
    <s v="CG-12520"/>
    <s v="Claire Gute"/>
    <x v="1"/>
    <s v="United States"/>
    <s v="Henderson"/>
    <x v="7"/>
    <n v="42420"/>
    <s v="South"/>
    <s v="FUR-CH-10000454"/>
    <x v="2"/>
    <x v="8"/>
    <s v="Hon Deluxe Fabric Upholstered Stacking Chairs, Rounded Back"/>
    <n v="731.94"/>
    <n v="219.58199999999999"/>
    <n v="3"/>
    <n v="0"/>
  </r>
  <r>
    <s v="US-2018-159205"/>
    <x v="11"/>
    <d v="2022-04-01T00:00:00"/>
    <s v="Second Class"/>
    <s v="DB-12910"/>
    <s v="Daniel Byrd"/>
    <x v="0"/>
    <s v="United States"/>
    <s v="Henderson"/>
    <x v="7"/>
    <n v="42420"/>
    <s v="South"/>
    <s v="FUR-FU-10001591"/>
    <x v="2"/>
    <x v="6"/>
    <s v="Advantus Panel Wall Certificate Holder - 8.5x11"/>
    <n v="61"/>
    <n v="25.62"/>
    <n v="5"/>
    <n v="0"/>
  </r>
  <r>
    <s v="US-2018-159205"/>
    <x v="11"/>
    <d v="2022-04-01T00:00:00"/>
    <s v="Second Class"/>
    <s v="DB-12910"/>
    <s v="Daniel Byrd"/>
    <x v="0"/>
    <s v="United States"/>
    <s v="Henderson"/>
    <x v="7"/>
    <n v="42420"/>
    <s v="South"/>
    <s v="TEC-PH-10000526"/>
    <x v="1"/>
    <x v="1"/>
    <s v="Vtech CS6719"/>
    <n v="671.93"/>
    <n v="188.1404"/>
    <n v="7"/>
    <n v="0"/>
  </r>
  <r>
    <s v="CA-2018-118773"/>
    <x v="12"/>
    <d v="2022-02-13T00:00:00"/>
    <s v="Standard Class"/>
    <s v="TP-21415"/>
    <s v="Tom Prescott"/>
    <x v="1"/>
    <s v="United States"/>
    <s v="Houston"/>
    <x v="3"/>
    <n v="77070"/>
    <s v="Central"/>
    <s v="OFF-BI-10004584"/>
    <x v="0"/>
    <x v="13"/>
    <s v="GBC ProClick 150 Presentation Binding System"/>
    <n v="252.78399999999999"/>
    <n v="-417.09359999999998"/>
    <n v="4"/>
    <n v="0.8"/>
  </r>
  <r>
    <s v="CA-2018-118773"/>
    <x v="12"/>
    <d v="2022-02-13T00:00:00"/>
    <s v="Standard Class"/>
    <s v="TP-21415"/>
    <s v="Tom Prescott"/>
    <x v="1"/>
    <s v="United States"/>
    <s v="Houston"/>
    <x v="3"/>
    <n v="77070"/>
    <s v="Central"/>
    <s v="TEC-AC-10002402"/>
    <x v="1"/>
    <x v="9"/>
    <s v="Razer Kraken PRO Over Ear PC and Music Headset"/>
    <n v="127.98399999999999"/>
    <n v="15.997999999999999"/>
    <n v="2"/>
    <n v="0.2"/>
  </r>
  <r>
    <s v="CA-2018-118773"/>
    <x v="12"/>
    <d v="2022-02-13T00:00:00"/>
    <s v="Standard Class"/>
    <s v="TP-21415"/>
    <s v="Tom Prescott"/>
    <x v="1"/>
    <s v="United States"/>
    <s v="Houston"/>
    <x v="3"/>
    <n v="77070"/>
    <s v="Central"/>
    <s v="FUR-FU-10000550"/>
    <x v="2"/>
    <x v="6"/>
    <s v="Stacking Trays by OIC"/>
    <n v="3.984"/>
    <n v="-2.6892"/>
    <n v="2"/>
    <n v="0.6"/>
  </r>
  <r>
    <s v="CA-2018-118773"/>
    <x v="12"/>
    <d v="2022-02-13T00:00:00"/>
    <s v="Standard Class"/>
    <s v="TP-21415"/>
    <s v="Tom Prescott"/>
    <x v="1"/>
    <s v="United States"/>
    <s v="Houston"/>
    <x v="3"/>
    <n v="77070"/>
    <s v="Central"/>
    <s v="OFF-AP-10000055"/>
    <x v="0"/>
    <x v="4"/>
    <s v="Belkin F9S820V06 8 Outlet Surge"/>
    <n v="12.992000000000001"/>
    <n v="-32.479999999999997"/>
    <n v="2"/>
    <n v="0.8"/>
  </r>
  <r>
    <s v="CA-2017-138688"/>
    <x v="13"/>
    <d v="2021-06-15T00:00:00"/>
    <s v="Second Class"/>
    <s v="DV-13045"/>
    <s v="Darrin Van Huff"/>
    <x v="2"/>
    <s v="United States"/>
    <s v="Los Angeles"/>
    <x v="1"/>
    <n v="90036"/>
    <s v="West"/>
    <s v="OFF-LA-10000240"/>
    <x v="0"/>
    <x v="11"/>
    <s v="Self-Adhesive Address Labels for Typewriters by Universal"/>
    <n v="14.62"/>
    <n v="6.8714000000000004"/>
    <n v="2"/>
    <n v="0"/>
  </r>
  <r>
    <s v="CA-2017-125206"/>
    <x v="14"/>
    <d v="2021-01-04T00:00:00"/>
    <s v="First Class"/>
    <s v="LR-16915"/>
    <s v="Lena Radford"/>
    <x v="1"/>
    <s v="United States"/>
    <s v="Los Angeles"/>
    <x v="1"/>
    <n v="90045"/>
    <s v="West"/>
    <s v="OFF-ST-10003692"/>
    <x v="0"/>
    <x v="7"/>
    <s v="Recycled Steel Personal File for Hanging File Folders"/>
    <n v="114.46"/>
    <n v="28.614999999999998"/>
    <n v="2"/>
    <n v="0"/>
  </r>
  <r>
    <s v="CA-2016-126137"/>
    <x v="15"/>
    <d v="2020-10-07T00:00:00"/>
    <s v="Standard Class"/>
    <s v="BS-11755"/>
    <s v="Bruce Stewart"/>
    <x v="1"/>
    <s v="United States"/>
    <s v="Los Angeles"/>
    <x v="1"/>
    <n v="90032"/>
    <s v="West"/>
    <s v="FUR-BO-10004409"/>
    <x v="2"/>
    <x v="12"/>
    <s v="Safco Value Mate Series Steel Bookcases, Baked Enamel Finish on Steel, Gray"/>
    <n v="120.666"/>
    <n v="18.454799999999999"/>
    <n v="2"/>
    <n v="0.15"/>
  </r>
  <r>
    <s v="CA-2016-126347"/>
    <x v="16"/>
    <d v="2020-12-18T00:00:00"/>
    <s v="Second Class"/>
    <s v="AJ-10945"/>
    <s v="Ashley Jarboe"/>
    <x v="1"/>
    <s v="United States"/>
    <s v="Los Angeles"/>
    <x v="1"/>
    <n v="90045"/>
    <s v="West"/>
    <s v="TEC-AC-10003063"/>
    <x v="1"/>
    <x v="9"/>
    <s v="Micro Innovations USB RF Wireless Keyboard with Mouse"/>
    <n v="50"/>
    <n v="10.5"/>
    <n v="2"/>
    <n v="0"/>
  </r>
  <r>
    <s v="US-2018-132297"/>
    <x v="17"/>
    <d v="2022-06-01T00:00:00"/>
    <s v="Standard Class"/>
    <s v="DW-13480"/>
    <s v="Dianna Wilson"/>
    <x v="0"/>
    <s v="United States"/>
    <s v="Louisville"/>
    <x v="8"/>
    <n v="40214"/>
    <s v="South"/>
    <s v="OFF-BI-10003364"/>
    <x v="0"/>
    <x v="13"/>
    <s v="Binding Machine Supplies"/>
    <n v="58.34"/>
    <n v="28.0032"/>
    <n v="2"/>
    <n v="0"/>
  </r>
  <r>
    <s v="US-2018-132297"/>
    <x v="17"/>
    <d v="2022-06-01T00:00:00"/>
    <s v="Standard Class"/>
    <s v="DW-13480"/>
    <s v="Dianna Wilson"/>
    <x v="0"/>
    <s v="United States"/>
    <s v="Louisville"/>
    <x v="7"/>
    <n v="40214"/>
    <s v="South"/>
    <s v="TEC-PH-10002834"/>
    <x v="1"/>
    <x v="1"/>
    <s v="Google Nexus 5"/>
    <n v="539.97"/>
    <n v="134.99250000000001"/>
    <n v="3"/>
    <n v="0"/>
  </r>
  <r>
    <s v="CA-2015-100328"/>
    <x v="18"/>
    <d v="2019-02-02T00:00:00"/>
    <s v="Standard Class"/>
    <s v="JC-15340"/>
    <s v="Jasper Cacioppo"/>
    <x v="1"/>
    <s v="United States"/>
    <s v="New York City"/>
    <x v="9"/>
    <n v="10024"/>
    <s v="East"/>
    <s v="OFF-BI-10000343"/>
    <x v="0"/>
    <x v="13"/>
    <s v="Pressboard Covers with Storage Hooks, 9 1/2&quot; x 11&quot;, Light Blue"/>
    <n v="3.9279999999999999"/>
    <n v="1.3257000000000001"/>
    <n v="1"/>
    <n v="0.2"/>
  </r>
  <r>
    <s v="CA-2015-119375"/>
    <x v="19"/>
    <d v="2019-11-21T00:00:00"/>
    <s v="Standard Class"/>
    <s v="YC-21895"/>
    <s v="Yoseph Carroll"/>
    <x v="2"/>
    <s v="United States"/>
    <s v="Newark"/>
    <x v="10"/>
    <n v="19711"/>
    <s v="East"/>
    <s v="OFF-ST-10002011"/>
    <x v="0"/>
    <x v="7"/>
    <s v="Smead Adjustable Mobile File Trolley with Lockable Top"/>
    <n v="2934.33"/>
    <n v="792.26909999999998"/>
    <n v="7"/>
    <n v="0"/>
  </r>
  <r>
    <s v="CA-2015-119375"/>
    <x v="19"/>
    <d v="2019-11-21T00:00:00"/>
    <s v="Standard Class"/>
    <s v="YC-21895"/>
    <s v="Yoseph Carroll"/>
    <x v="2"/>
    <s v="United States"/>
    <s v="Newark"/>
    <x v="10"/>
    <n v="19711"/>
    <s v="East"/>
    <s v="FUR-FU-10002379"/>
    <x v="2"/>
    <x v="6"/>
    <s v="Eldon Econocleat Chair Mats for Low Pile Carpets"/>
    <n v="124.41"/>
    <n v="14.9292"/>
    <n v="3"/>
    <n v="0"/>
  </r>
  <r>
    <s v="CA-2015-119375"/>
    <x v="19"/>
    <d v="2019-11-21T00:00:00"/>
    <s v="Standard Class"/>
    <s v="YC-21895"/>
    <s v="Yoseph Carroll"/>
    <x v="2"/>
    <s v="United States"/>
    <s v="Newark"/>
    <x v="10"/>
    <n v="19711"/>
    <s v="East"/>
    <s v="OFF-AR-10003752"/>
    <x v="0"/>
    <x v="14"/>
    <s v="Deluxe Chalkboard Eraser Cleaner"/>
    <n v="57.75"/>
    <n v="26.565000000000001"/>
    <n v="5"/>
    <n v="0"/>
  </r>
  <r>
    <s v="CA-2017-112123"/>
    <x v="20"/>
    <d v="2021-03-07T00:00:00"/>
    <s v="Standard Class"/>
    <s v="BH-11710"/>
    <s v="Brosina Hoffman"/>
    <x v="1"/>
    <s v="United States"/>
    <s v="Newark"/>
    <x v="10"/>
    <n v="19711"/>
    <s v="East"/>
    <s v="OFF-BI-10001071"/>
    <x v="0"/>
    <x v="13"/>
    <s v="GBC ProClick Punch Binding System"/>
    <n v="447.86"/>
    <n v="219.45140000000001"/>
    <n v="7"/>
    <n v="0"/>
  </r>
  <r>
    <s v="CA-2017-112123"/>
    <x v="20"/>
    <d v="2021-03-07T00:00:00"/>
    <s v="Standard Class"/>
    <s v="BH-11710"/>
    <s v="Brosina Hoffman"/>
    <x v="1"/>
    <s v="United States"/>
    <s v="Newark"/>
    <x v="10"/>
    <n v="19711"/>
    <s v="East"/>
    <s v="TEC-PH-10001557"/>
    <x v="1"/>
    <x v="1"/>
    <s v="Pyle PMP37LED"/>
    <n v="479.95"/>
    <n v="129.5865"/>
    <n v="5"/>
    <n v="0"/>
  </r>
  <r>
    <s v="CA-2017-112123"/>
    <x v="20"/>
    <d v="2021-03-07T00:00:00"/>
    <s v="Standard Class"/>
    <s v="BH-11710"/>
    <s v="Brosina Hoffman"/>
    <x v="1"/>
    <s v="United States"/>
    <s v="Newark"/>
    <x v="10"/>
    <n v="19711"/>
    <s v="East"/>
    <s v="OFF-PA-10001977"/>
    <x v="0"/>
    <x v="0"/>
    <s v="Xerox 194"/>
    <n v="166.44"/>
    <n v="79.891199999999998"/>
    <n v="3"/>
    <n v="0"/>
  </r>
  <r>
    <s v="CA-2015-119375"/>
    <x v="19"/>
    <d v="2019-11-21T00:00:00"/>
    <s v="Standard Class"/>
    <s v="YC-21895"/>
    <s v="Yoseph Carroll"/>
    <x v="2"/>
    <s v="United States"/>
    <s v="Newark"/>
    <x v="10"/>
    <n v="19711"/>
    <s v="East"/>
    <s v="OFF-ST-10002011"/>
    <x v="0"/>
    <x v="7"/>
    <s v="Smead Adjustable Mobile File Trolley with Lockable Top"/>
    <n v="2934.33"/>
    <n v="792.26909999999998"/>
    <n v="7"/>
    <n v="0"/>
  </r>
  <r>
    <s v="CA-2017-112123"/>
    <x v="20"/>
    <d v="2021-03-07T00:00:00"/>
    <s v="Standard Class"/>
    <s v="BH-11710"/>
    <s v="Brosina Hoffman"/>
    <x v="1"/>
    <s v="United States"/>
    <s v="Newark"/>
    <x v="10"/>
    <n v="19711"/>
    <s v="East"/>
    <s v="OFF-PA-10001977"/>
    <x v="0"/>
    <x v="0"/>
    <s v="Xerox 194"/>
    <n v="166.44"/>
    <n v="79.891199999999998"/>
    <n v="3"/>
    <n v="0"/>
  </r>
  <r>
    <s v="CA-2015-104780"/>
    <x v="21"/>
    <d v="2019-05-24T00:00:00"/>
    <s v="Standard Class"/>
    <s v="BT-11530"/>
    <s v="Bradley Talbott"/>
    <x v="0"/>
    <s v="United States"/>
    <s v="San Diego"/>
    <x v="1"/>
    <n v="92037"/>
    <s v="West"/>
    <s v="OFF-AR-10003514"/>
    <x v="0"/>
    <x v="14"/>
    <s v="4009 Highlighters by Sanford"/>
    <n v="31.84"/>
    <n v="10.507199999999999"/>
    <n v="8"/>
    <n v="0"/>
  </r>
  <r>
    <s v="CA-2015-154158"/>
    <x v="22"/>
    <d v="2019-12-26T00:00:00"/>
    <s v="Second Class"/>
    <s v="CC-12670"/>
    <s v="Craig Carreira"/>
    <x v="1"/>
    <s v="United States"/>
    <s v="Tampa"/>
    <x v="6"/>
    <n v="33614"/>
    <s v="South"/>
    <s v="OFF-PA-10001295"/>
    <x v="0"/>
    <x v="0"/>
    <s v="Computer Printout Paper with Letter-Trim Perforations"/>
    <n v="45.527999999999999"/>
    <n v="15.934799999999999"/>
    <n v="3"/>
    <n v="0.2"/>
  </r>
  <r>
    <s v="CA-2015-154158"/>
    <x v="22"/>
    <d v="2019-12-26T00:00:00"/>
    <s v="Second Class"/>
    <s v="CC-12670"/>
    <s v="Craig Carreira"/>
    <x v="1"/>
    <s v="United States"/>
    <s v="Tampa"/>
    <x v="6"/>
    <n v="33614"/>
    <s v="South"/>
    <s v="FUR-CH-10004698"/>
    <x v="2"/>
    <x v="8"/>
    <s v="Padded Folding Chairs, Black, 4/Carton"/>
    <n v="64.784000000000006"/>
    <n v="6.4783999999999997"/>
    <n v="1"/>
    <n v="0.2"/>
  </r>
  <r>
    <s v="CA-2015-154158"/>
    <x v="22"/>
    <d v="2019-12-26T00:00:00"/>
    <s v="Second Class"/>
    <s v="CC-12670"/>
    <s v="Craig Carreira"/>
    <x v="1"/>
    <s v="United States"/>
    <s v="Tampa"/>
    <x v="6"/>
    <n v="33614"/>
    <s v="South"/>
    <s v="OFF-ST-10000078"/>
    <x v="0"/>
    <x v="7"/>
    <s v="Tennsco 6- and 18-Compartment Lockers"/>
    <n v="424.27199999999999"/>
    <n v="-10.6068"/>
    <n v="2"/>
    <n v="0.2"/>
  </r>
  <r>
    <s v="US-2018-120089"/>
    <x v="23"/>
    <d v="2022-11-29T00:00:00"/>
    <s v="Same Day"/>
    <s v="ML-17755"/>
    <s v="Max Ludwig"/>
    <x v="0"/>
    <s v="United States"/>
    <s v="Toledo"/>
    <x v="11"/>
    <n v="43615"/>
    <s v="East"/>
    <s v="OFF-AP-10003779"/>
    <x v="0"/>
    <x v="4"/>
    <s v="Kensington 7 Outlet MasterPiece Power Center with Fax/Phone Line Protection"/>
    <n v="663.93600000000004"/>
    <n v="82.992000000000004"/>
    <n v="4"/>
    <n v="0.2"/>
  </r>
  <r>
    <s v="US-2018-120089"/>
    <x v="23"/>
    <d v="2022-11-29T00:00:00"/>
    <s v="Same Day"/>
    <s v="ML-17755"/>
    <s v="Max Ludwig"/>
    <x v="0"/>
    <s v="United States"/>
    <s v="Toledo"/>
    <x v="11"/>
    <n v="43615"/>
    <s v="East"/>
    <s v="OFF-AP-10003779"/>
    <x v="0"/>
    <x v="4"/>
    <s v="Kensington 7 Outlet MasterPiece Power Center with Fax/Phone Line Protection"/>
    <n v="663.93600000000004"/>
    <n v="82.992000000000004"/>
    <n v="4"/>
    <n v="0.2"/>
  </r>
  <r>
    <s v="CA-2018-119914"/>
    <x v="24"/>
    <d v="2022-05-08T00:00:00"/>
    <s v="Second Class"/>
    <s v="CC-12220"/>
    <s v="Chris Cortes"/>
    <x v="1"/>
    <s v="United States"/>
    <s v="Westminster"/>
    <x v="1"/>
    <n v="92683"/>
    <s v="West"/>
    <s v="OFF-AP-10002684"/>
    <x v="0"/>
    <x v="4"/>
    <s v="Acco 7-Outlet Masterpiece Power Center, Wihtout Fax/Phone Line Protection"/>
    <n v="243.16"/>
    <n v="72.947999999999993"/>
    <n v="2"/>
    <n v="0"/>
  </r>
  <r>
    <m/>
    <x v="25"/>
    <m/>
    <m/>
    <m/>
    <m/>
    <x v="3"/>
    <m/>
    <m/>
    <x v="8"/>
    <m/>
    <m/>
    <m/>
    <x v="3"/>
    <x v="15"/>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C58A76-6BF3-44C8-B545-C362FA7E1C77}" name="PivotTable2"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27:B39" firstHeaderRow="1" firstDataRow="1" firstDataCol="1"/>
  <pivotFields count="20">
    <pivotField showAll="0"/>
    <pivotField showAll="0">
      <items count="27">
        <item x="18"/>
        <item x="21"/>
        <item x="5"/>
        <item x="19"/>
        <item x="22"/>
        <item x="2"/>
        <item x="15"/>
        <item x="8"/>
        <item x="16"/>
        <item x="14"/>
        <item x="20"/>
        <item x="3"/>
        <item x="13"/>
        <item x="10"/>
        <item x="12"/>
        <item x="4"/>
        <item x="0"/>
        <item x="11"/>
        <item x="9"/>
        <item x="24"/>
        <item x="17"/>
        <item x="1"/>
        <item x="23"/>
        <item x="7"/>
        <item x="6"/>
        <item x="25"/>
        <item t="default"/>
      </items>
    </pivotField>
    <pivotField showAll="0"/>
    <pivotField showAll="0"/>
    <pivotField showAll="0"/>
    <pivotField showAll="0"/>
    <pivotField showAll="0">
      <items count="5">
        <item x="1"/>
        <item x="2"/>
        <item x="0"/>
        <item x="3"/>
        <item t="default"/>
      </items>
    </pivotField>
    <pivotField showAll="0"/>
    <pivotField showAll="0"/>
    <pivotField axis="axisRow" showAll="0">
      <items count="13">
        <item x="1"/>
        <item x="10"/>
        <item x="6"/>
        <item x="2"/>
        <item x="7"/>
        <item x="4"/>
        <item x="0"/>
        <item x="9"/>
        <item x="11"/>
        <item x="3"/>
        <item x="5"/>
        <item h="1" x="8"/>
        <item t="default"/>
      </items>
    </pivotField>
    <pivotField showAll="0"/>
    <pivotField showAll="0"/>
    <pivotField showAll="0"/>
    <pivotField showAll="0"/>
    <pivotField showAll="0">
      <items count="17">
        <item x="9"/>
        <item x="4"/>
        <item x="14"/>
        <item x="13"/>
        <item x="12"/>
        <item x="8"/>
        <item x="5"/>
        <item x="3"/>
        <item x="6"/>
        <item x="11"/>
        <item x="0"/>
        <item x="1"/>
        <item x="7"/>
        <item x="2"/>
        <item x="10"/>
        <item h="1" x="15"/>
        <item t="default"/>
      </items>
    </pivotField>
    <pivotField showAll="0"/>
    <pivotField dataField="1" showAll="0"/>
    <pivotField showAll="0"/>
    <pivotField showAll="0"/>
    <pivotField showAll="0"/>
  </pivotFields>
  <rowFields count="1">
    <field x="9"/>
  </rowFields>
  <rowItems count="12">
    <i>
      <x/>
    </i>
    <i>
      <x v="1"/>
    </i>
    <i>
      <x v="2"/>
    </i>
    <i>
      <x v="3"/>
    </i>
    <i>
      <x v="4"/>
    </i>
    <i>
      <x v="5"/>
    </i>
    <i>
      <x v="6"/>
    </i>
    <i>
      <x v="7"/>
    </i>
    <i>
      <x v="8"/>
    </i>
    <i>
      <x v="9"/>
    </i>
    <i>
      <x v="10"/>
    </i>
    <i t="grand">
      <x/>
    </i>
  </rowItems>
  <colItems count="1">
    <i/>
  </colItems>
  <dataFields count="1">
    <dataField name="Sum of sales" fld="16"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1" name="order_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DD455B-5E91-4787-8E94-EF2CF36C0F77}" name="PivotTable1"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19" firstHeaderRow="1" firstDataRow="1" firstDataCol="1"/>
  <pivotFields count="20">
    <pivotField showAll="0"/>
    <pivotField showAll="0">
      <items count="27">
        <item x="18"/>
        <item x="21"/>
        <item x="5"/>
        <item x="19"/>
        <item x="22"/>
        <item x="2"/>
        <item x="15"/>
        <item x="8"/>
        <item x="16"/>
        <item x="14"/>
        <item x="20"/>
        <item x="3"/>
        <item x="13"/>
        <item x="10"/>
        <item x="12"/>
        <item x="4"/>
        <item x="0"/>
        <item x="11"/>
        <item x="9"/>
        <item x="24"/>
        <item x="17"/>
        <item x="1"/>
        <item x="23"/>
        <item x="7"/>
        <item x="6"/>
        <item x="25"/>
        <item t="default"/>
      </items>
    </pivotField>
    <pivotField showAll="0"/>
    <pivotField showAll="0"/>
    <pivotField showAll="0"/>
    <pivotField showAll="0"/>
    <pivotField showAll="0">
      <items count="5">
        <item x="1"/>
        <item x="2"/>
        <item x="0"/>
        <item x="3"/>
        <item t="default"/>
      </items>
    </pivotField>
    <pivotField showAll="0"/>
    <pivotField showAll="0"/>
    <pivotField showAll="0"/>
    <pivotField showAll="0"/>
    <pivotField showAll="0"/>
    <pivotField showAll="0"/>
    <pivotField showAll="0">
      <items count="5">
        <item x="2"/>
        <item x="0"/>
        <item x="1"/>
        <item h="1" x="3"/>
        <item t="default"/>
      </items>
    </pivotField>
    <pivotField axis="axisRow" showAll="0">
      <items count="17">
        <item x="9"/>
        <item x="4"/>
        <item x="14"/>
        <item x="13"/>
        <item x="12"/>
        <item x="8"/>
        <item x="5"/>
        <item x="3"/>
        <item x="6"/>
        <item x="11"/>
        <item x="0"/>
        <item x="1"/>
        <item x="7"/>
        <item x="2"/>
        <item x="10"/>
        <item h="1" x="15"/>
        <item t="default"/>
      </items>
    </pivotField>
    <pivotField showAll="0"/>
    <pivotField dataField="1" showAll="0"/>
    <pivotField showAll="0"/>
    <pivotField showAll="0"/>
    <pivotField showAll="0"/>
  </pivotFields>
  <rowFields count="1">
    <field x="14"/>
  </rowFields>
  <rowItems count="16">
    <i>
      <x/>
    </i>
    <i>
      <x v="1"/>
    </i>
    <i>
      <x v="2"/>
    </i>
    <i>
      <x v="3"/>
    </i>
    <i>
      <x v="4"/>
    </i>
    <i>
      <x v="5"/>
    </i>
    <i>
      <x v="6"/>
    </i>
    <i>
      <x v="7"/>
    </i>
    <i>
      <x v="8"/>
    </i>
    <i>
      <x v="9"/>
    </i>
    <i>
      <x v="10"/>
    </i>
    <i>
      <x v="11"/>
    </i>
    <i>
      <x v="12"/>
    </i>
    <i>
      <x v="13"/>
    </i>
    <i>
      <x v="14"/>
    </i>
    <i t="grand">
      <x/>
    </i>
  </rowItems>
  <colItems count="1">
    <i/>
  </colItems>
  <dataFields count="1">
    <dataField name="Sum of sales" fld="16"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1" name="order_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C012085-DDC2-4B79-9954-DE4A110BC567}" sourceName="segment">
  <pivotTables>
    <pivotTable tabId="5" name="PivotTable1"/>
    <pivotTable tabId="5" name="PivotTable2"/>
  </pivotTables>
  <data>
    <tabular pivotCacheId="1962812389">
      <items count="4">
        <i x="1" s="1"/>
        <i x="2" s="1"/>
        <i x="0"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7DFEAD8-44DE-47DF-8430-FF880D2F5B65}" sourceName="category">
  <pivotTables>
    <pivotTable tabId="5" name="PivotTable1"/>
  </pivotTables>
  <data>
    <tabular pivotCacheId="1962812389">
      <items count="4">
        <i x="2" s="1"/>
        <i x="0" s="1"/>
        <i x="1"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B62E8D60-8B21-451E-B031-5FB48BE0EB36}" cache="Slicer_segment" caption="segment" rowHeight="241300"/>
  <slicer name="category" xr10:uid="{0B0B1E26-38C4-47A1-91AA-37AF59CBC52A}"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C4434B5F-5E5A-4361-863F-EAA5FA8E2DA9}" cache="Slicer_segment" caption="segment" rowHeight="241300"/>
  <slicer name="category 1" xr10:uid="{5FE4BA31-A3E8-4684-A3B5-4340FBAA323E}"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421BC60-7CCC-4E95-82C0-775C3AD0B029}" sourceName="order_date">
  <pivotTables>
    <pivotTable tabId="5" name="PivotTable1"/>
    <pivotTable tabId="5" name="PivotTable2"/>
  </pivotTables>
  <state minimalRefreshVersion="6" lastRefreshVersion="6" pivotCacheId="1962812389" filterType="dateBetween">
    <selection startDate="2019-01-01T00:00:00" endDate="2022-12-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2654F089-267F-41FA-86CA-0C838D5C513F}" cache="NativeTimeline_order_date" caption="order_date" level="0" selectionLevel="0" scrollPosition="2019-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74D660BC-788F-4CE6-99F9-BF5F30C7934F}" cache="NativeTimeline_order_date" caption="order_date" level="0" selectionLevel="0" scrollPosition="2019-01-01T00:00:00"/>
</timeline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DC423-6977-4CDC-B311-FBE07ECA0F26}">
  <sheetPr filterMode="1"/>
  <dimension ref="A1:T51"/>
  <sheetViews>
    <sheetView workbookViewId="0">
      <selection activeCell="D1" sqref="D1"/>
    </sheetView>
  </sheetViews>
  <sheetFormatPr defaultRowHeight="14.5" x14ac:dyDescent="0.35"/>
  <cols>
    <col min="1" max="1" width="14.6328125" bestFit="1" customWidth="1"/>
    <col min="2" max="2" width="12.54296875" bestFit="1" customWidth="1"/>
    <col min="3" max="3" width="11.453125" bestFit="1" customWidth="1"/>
    <col min="4" max="4" width="12.81640625" bestFit="1" customWidth="1"/>
    <col min="5" max="5" width="13.6328125" bestFit="1" customWidth="1"/>
    <col min="6" max="6" width="17" bestFit="1" customWidth="1"/>
    <col min="7" max="7" width="11.36328125" bestFit="1" customWidth="1"/>
    <col min="8" max="8" width="11.90625" bestFit="1" customWidth="1"/>
    <col min="9" max="9" width="13.90625" bestFit="1" customWidth="1"/>
    <col min="10" max="10" width="11.1796875" bestFit="1" customWidth="1"/>
    <col min="11" max="11" width="13.453125" bestFit="1" customWidth="1"/>
    <col min="12" max="12" width="8.54296875" bestFit="1" customWidth="1"/>
    <col min="13" max="13" width="16.1796875" bestFit="1" customWidth="1"/>
    <col min="14" max="14" width="13.08984375" bestFit="1" customWidth="1"/>
    <col min="15" max="15" width="14.54296875" bestFit="1" customWidth="1"/>
    <col min="16" max="16" width="66.36328125" bestFit="1" customWidth="1"/>
    <col min="17" max="17" width="9" bestFit="1" customWidth="1"/>
    <col min="18" max="18" width="9.6328125" bestFit="1" customWidth="1"/>
    <col min="19" max="19" width="10.36328125" bestFit="1" customWidth="1"/>
    <col min="20" max="20" width="10.453125" bestFit="1" customWidth="1"/>
  </cols>
  <sheetData>
    <row r="1" spans="1:20"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3" t="s">
        <v>19</v>
      </c>
    </row>
    <row r="2" spans="1:20" x14ac:dyDescent="0.35">
      <c r="A2" s="4" t="s">
        <v>20</v>
      </c>
      <c r="B2" s="5">
        <v>44632</v>
      </c>
      <c r="C2" s="5">
        <v>44637</v>
      </c>
      <c r="D2" s="6" t="s">
        <v>21</v>
      </c>
      <c r="E2" s="6" t="s">
        <v>22</v>
      </c>
      <c r="F2" s="6" t="s">
        <v>23</v>
      </c>
      <c r="G2" s="6" t="s">
        <v>24</v>
      </c>
      <c r="H2" s="6" t="s">
        <v>25</v>
      </c>
      <c r="I2" s="6" t="s">
        <v>26</v>
      </c>
      <c r="J2" s="6" t="s">
        <v>27</v>
      </c>
      <c r="K2" s="6">
        <v>87105</v>
      </c>
      <c r="L2" s="6" t="s">
        <v>28</v>
      </c>
      <c r="M2" s="6" t="s">
        <v>29</v>
      </c>
      <c r="N2" s="6" t="s">
        <v>30</v>
      </c>
      <c r="O2" s="6" t="s">
        <v>31</v>
      </c>
      <c r="P2" s="6" t="s">
        <v>32</v>
      </c>
      <c r="Q2" s="6">
        <v>288.24</v>
      </c>
      <c r="R2" s="6">
        <v>138.3552</v>
      </c>
      <c r="S2" s="6">
        <v>6</v>
      </c>
      <c r="T2" s="7">
        <v>0</v>
      </c>
    </row>
    <row r="3" spans="1:20" x14ac:dyDescent="0.35">
      <c r="A3" s="4" t="s">
        <v>33</v>
      </c>
      <c r="B3" s="5">
        <v>44807</v>
      </c>
      <c r="C3" s="5">
        <v>44808</v>
      </c>
      <c r="D3" s="6" t="s">
        <v>34</v>
      </c>
      <c r="E3" s="6" t="s">
        <v>35</v>
      </c>
      <c r="F3" s="6" t="s">
        <v>36</v>
      </c>
      <c r="G3" s="6" t="s">
        <v>24</v>
      </c>
      <c r="H3" s="6" t="s">
        <v>25</v>
      </c>
      <c r="I3" s="6" t="s">
        <v>37</v>
      </c>
      <c r="J3" s="6" t="s">
        <v>38</v>
      </c>
      <c r="K3" s="6">
        <v>92307</v>
      </c>
      <c r="L3" s="6" t="s">
        <v>28</v>
      </c>
      <c r="M3" s="6" t="s">
        <v>39</v>
      </c>
      <c r="N3" s="6" t="s">
        <v>30</v>
      </c>
      <c r="O3" s="6" t="s">
        <v>31</v>
      </c>
      <c r="P3" s="6" t="s">
        <v>40</v>
      </c>
      <c r="Q3" s="6">
        <v>12.96</v>
      </c>
      <c r="R3" s="6">
        <v>6.2207999999999997</v>
      </c>
      <c r="S3" s="6">
        <v>2</v>
      </c>
      <c r="T3" s="7">
        <v>0</v>
      </c>
    </row>
    <row r="4" spans="1:20" ht="15.5" customHeight="1" x14ac:dyDescent="0.35">
      <c r="A4" s="4" t="s">
        <v>33</v>
      </c>
      <c r="B4" s="5">
        <v>44807</v>
      </c>
      <c r="C4" s="5">
        <v>44808</v>
      </c>
      <c r="D4" s="6" t="s">
        <v>34</v>
      </c>
      <c r="E4" s="6" t="s">
        <v>35</v>
      </c>
      <c r="F4" s="6" t="s">
        <v>36</v>
      </c>
      <c r="G4" s="6" t="s">
        <v>24</v>
      </c>
      <c r="H4" s="6" t="s">
        <v>25</v>
      </c>
      <c r="I4" s="6" t="s">
        <v>37</v>
      </c>
      <c r="J4" s="6" t="s">
        <v>38</v>
      </c>
      <c r="K4" s="6">
        <v>92307</v>
      </c>
      <c r="L4" s="6" t="s">
        <v>28</v>
      </c>
      <c r="M4" s="6" t="s">
        <v>41</v>
      </c>
      <c r="N4" s="6" t="s">
        <v>42</v>
      </c>
      <c r="O4" s="6" t="s">
        <v>43</v>
      </c>
      <c r="P4" s="6" t="s">
        <v>44</v>
      </c>
      <c r="Q4" s="6">
        <v>43.176000000000002</v>
      </c>
      <c r="R4" s="6">
        <v>15.111599999999999</v>
      </c>
      <c r="S4" s="6">
        <v>3</v>
      </c>
      <c r="T4" s="7">
        <v>0.2</v>
      </c>
    </row>
    <row r="5" spans="1:20" x14ac:dyDescent="0.35">
      <c r="A5" s="4" t="s">
        <v>45</v>
      </c>
      <c r="B5" s="5">
        <v>44065</v>
      </c>
      <c r="C5" s="5">
        <v>44065</v>
      </c>
      <c r="D5" s="6" t="s">
        <v>46</v>
      </c>
      <c r="E5" s="6" t="s">
        <v>47</v>
      </c>
      <c r="F5" s="6" t="s">
        <v>48</v>
      </c>
      <c r="G5" s="6" t="s">
        <v>49</v>
      </c>
      <c r="H5" s="6" t="s">
        <v>25</v>
      </c>
      <c r="I5" s="6" t="s">
        <v>50</v>
      </c>
      <c r="J5" s="6" t="s">
        <v>51</v>
      </c>
      <c r="K5" s="6">
        <v>60440</v>
      </c>
      <c r="L5" s="6" t="s">
        <v>52</v>
      </c>
      <c r="M5" s="6" t="s">
        <v>53</v>
      </c>
      <c r="N5" s="6" t="s">
        <v>30</v>
      </c>
      <c r="O5" s="6" t="s">
        <v>54</v>
      </c>
      <c r="P5" s="6" t="s">
        <v>55</v>
      </c>
      <c r="Q5" s="6">
        <v>31.68</v>
      </c>
      <c r="R5" s="6">
        <v>2.7719999999999998</v>
      </c>
      <c r="S5" s="6">
        <v>4</v>
      </c>
      <c r="T5" s="7">
        <v>0.2</v>
      </c>
    </row>
    <row r="6" spans="1:20" x14ac:dyDescent="0.35">
      <c r="A6" s="4" t="s">
        <v>45</v>
      </c>
      <c r="B6" s="5">
        <v>44065</v>
      </c>
      <c r="C6" s="5">
        <v>44065</v>
      </c>
      <c r="D6" s="6" t="s">
        <v>46</v>
      </c>
      <c r="E6" s="6" t="s">
        <v>47</v>
      </c>
      <c r="F6" s="6" t="s">
        <v>48</v>
      </c>
      <c r="G6" s="6" t="s">
        <v>49</v>
      </c>
      <c r="H6" s="6" t="s">
        <v>25</v>
      </c>
      <c r="I6" s="6" t="s">
        <v>50</v>
      </c>
      <c r="J6" s="6" t="s">
        <v>51</v>
      </c>
      <c r="K6" s="6">
        <v>60440</v>
      </c>
      <c r="L6" s="6" t="s">
        <v>52</v>
      </c>
      <c r="M6" s="6" t="s">
        <v>56</v>
      </c>
      <c r="N6" s="6" t="s">
        <v>30</v>
      </c>
      <c r="O6" s="6" t="s">
        <v>31</v>
      </c>
      <c r="P6" s="6" t="s">
        <v>57</v>
      </c>
      <c r="Q6" s="6">
        <v>10.368</v>
      </c>
      <c r="R6" s="6">
        <v>3.6288</v>
      </c>
      <c r="S6" s="6">
        <v>2</v>
      </c>
      <c r="T6" s="7">
        <v>0.2</v>
      </c>
    </row>
    <row r="7" spans="1:20" x14ac:dyDescent="0.35">
      <c r="A7" s="4" t="s">
        <v>45</v>
      </c>
      <c r="B7" s="5">
        <v>44065</v>
      </c>
      <c r="C7" s="5">
        <v>44065</v>
      </c>
      <c r="D7" s="6" t="s">
        <v>46</v>
      </c>
      <c r="E7" s="6" t="s">
        <v>47</v>
      </c>
      <c r="F7" s="6" t="s">
        <v>48</v>
      </c>
      <c r="G7" s="6" t="s">
        <v>49</v>
      </c>
      <c r="H7" s="6" t="s">
        <v>25</v>
      </c>
      <c r="I7" s="6" t="s">
        <v>50</v>
      </c>
      <c r="J7" s="6" t="s">
        <v>51</v>
      </c>
      <c r="K7" s="6">
        <v>60440</v>
      </c>
      <c r="L7" s="6" t="s">
        <v>52</v>
      </c>
      <c r="M7" s="6" t="s">
        <v>58</v>
      </c>
      <c r="N7" s="6" t="s">
        <v>30</v>
      </c>
      <c r="O7" s="6" t="s">
        <v>59</v>
      </c>
      <c r="P7" s="6" t="s">
        <v>60</v>
      </c>
      <c r="Q7" s="6">
        <v>12.032</v>
      </c>
      <c r="R7" s="6">
        <v>2.2559999999999998</v>
      </c>
      <c r="S7" s="6">
        <v>8</v>
      </c>
      <c r="T7" s="7">
        <v>0.2</v>
      </c>
    </row>
    <row r="8" spans="1:20" x14ac:dyDescent="0.35">
      <c r="A8" s="4" t="s">
        <v>45</v>
      </c>
      <c r="B8" s="5">
        <v>44065</v>
      </c>
      <c r="C8" s="5">
        <v>44065</v>
      </c>
      <c r="D8" s="6" t="s">
        <v>46</v>
      </c>
      <c r="E8" s="6" t="s">
        <v>47</v>
      </c>
      <c r="F8" s="6" t="s">
        <v>48</v>
      </c>
      <c r="G8" s="6" t="s">
        <v>49</v>
      </c>
      <c r="H8" s="6" t="s">
        <v>25</v>
      </c>
      <c r="I8" s="6" t="s">
        <v>50</v>
      </c>
      <c r="J8" s="6" t="s">
        <v>51</v>
      </c>
      <c r="K8" s="6">
        <v>60440</v>
      </c>
      <c r="L8" s="6" t="s">
        <v>52</v>
      </c>
      <c r="M8" s="6" t="s">
        <v>61</v>
      </c>
      <c r="N8" s="6" t="s">
        <v>30</v>
      </c>
      <c r="O8" s="6" t="s">
        <v>62</v>
      </c>
      <c r="P8" s="6" t="s">
        <v>63</v>
      </c>
      <c r="Q8" s="6">
        <v>5.7679999999999998</v>
      </c>
      <c r="R8" s="6">
        <v>-13.5548</v>
      </c>
      <c r="S8" s="6">
        <v>2</v>
      </c>
      <c r="T8" s="7">
        <v>0.8</v>
      </c>
    </row>
    <row r="9" spans="1:20" x14ac:dyDescent="0.35">
      <c r="A9" s="4" t="s">
        <v>45</v>
      </c>
      <c r="B9" s="5">
        <v>44065</v>
      </c>
      <c r="C9" s="5">
        <v>44065</v>
      </c>
      <c r="D9" s="6" t="s">
        <v>46</v>
      </c>
      <c r="E9" s="6" t="s">
        <v>47</v>
      </c>
      <c r="F9" s="6" t="s">
        <v>48</v>
      </c>
      <c r="G9" s="6" t="s">
        <v>49</v>
      </c>
      <c r="H9" s="6" t="s">
        <v>25</v>
      </c>
      <c r="I9" s="6" t="s">
        <v>50</v>
      </c>
      <c r="J9" s="6" t="s">
        <v>51</v>
      </c>
      <c r="K9" s="6">
        <v>60440</v>
      </c>
      <c r="L9" s="6" t="s">
        <v>52</v>
      </c>
      <c r="M9" s="6" t="s">
        <v>58</v>
      </c>
      <c r="N9" s="6" t="s">
        <v>30</v>
      </c>
      <c r="O9" s="6" t="s">
        <v>59</v>
      </c>
      <c r="P9" s="6" t="s">
        <v>60</v>
      </c>
      <c r="Q9" s="6">
        <v>12.032</v>
      </c>
      <c r="R9" s="6">
        <v>2.2559999999999998</v>
      </c>
      <c r="S9" s="6">
        <v>8</v>
      </c>
      <c r="T9" s="7">
        <v>0.2</v>
      </c>
    </row>
    <row r="10" spans="1:20" x14ac:dyDescent="0.35">
      <c r="A10" s="4" t="s">
        <v>64</v>
      </c>
      <c r="B10" s="5">
        <v>44325</v>
      </c>
      <c r="C10" s="5">
        <v>44330</v>
      </c>
      <c r="D10" s="6" t="s">
        <v>65</v>
      </c>
      <c r="E10" s="6" t="s">
        <v>66</v>
      </c>
      <c r="F10" s="6" t="s">
        <v>67</v>
      </c>
      <c r="G10" s="6" t="s">
        <v>49</v>
      </c>
      <c r="H10" s="6" t="s">
        <v>25</v>
      </c>
      <c r="I10" s="6" t="s">
        <v>68</v>
      </c>
      <c r="J10" s="6" t="s">
        <v>51</v>
      </c>
      <c r="K10" s="6">
        <v>60610</v>
      </c>
      <c r="L10" s="6" t="s">
        <v>52</v>
      </c>
      <c r="M10" s="6" t="s">
        <v>69</v>
      </c>
      <c r="N10" s="6" t="s">
        <v>30</v>
      </c>
      <c r="O10" s="6" t="s">
        <v>70</v>
      </c>
      <c r="P10" s="6" t="s">
        <v>71</v>
      </c>
      <c r="Q10" s="6">
        <v>7.0720000000000001</v>
      </c>
      <c r="R10" s="6">
        <v>2.3868</v>
      </c>
      <c r="S10" s="6">
        <v>2</v>
      </c>
      <c r="T10" s="7">
        <v>0.2</v>
      </c>
    </row>
    <row r="11" spans="1:20" x14ac:dyDescent="0.35">
      <c r="A11" s="4" t="s">
        <v>72</v>
      </c>
      <c r="B11" s="5">
        <v>44617</v>
      </c>
      <c r="C11" s="5">
        <v>44622</v>
      </c>
      <c r="D11" s="6" t="s">
        <v>65</v>
      </c>
      <c r="E11" s="6" t="s">
        <v>73</v>
      </c>
      <c r="F11" s="6" t="s">
        <v>74</v>
      </c>
      <c r="G11" s="6" t="s">
        <v>49</v>
      </c>
      <c r="H11" s="6" t="s">
        <v>25</v>
      </c>
      <c r="I11" s="6" t="s">
        <v>75</v>
      </c>
      <c r="J11" s="6" t="s">
        <v>38</v>
      </c>
      <c r="K11" s="6">
        <v>92627</v>
      </c>
      <c r="L11" s="6" t="s">
        <v>28</v>
      </c>
      <c r="M11" s="6" t="s">
        <v>76</v>
      </c>
      <c r="N11" s="6" t="s">
        <v>77</v>
      </c>
      <c r="O11" s="6" t="s">
        <v>78</v>
      </c>
      <c r="P11" s="6" t="s">
        <v>79</v>
      </c>
      <c r="Q11" s="6">
        <v>91.96</v>
      </c>
      <c r="R11" s="6">
        <v>15.6332</v>
      </c>
      <c r="S11" s="6">
        <v>2</v>
      </c>
      <c r="T11" s="7">
        <v>0</v>
      </c>
    </row>
    <row r="12" spans="1:20" x14ac:dyDescent="0.35">
      <c r="A12" s="4" t="s">
        <v>72</v>
      </c>
      <c r="B12" s="5">
        <v>44617</v>
      </c>
      <c r="C12" s="5">
        <v>44622</v>
      </c>
      <c r="D12" s="6" t="s">
        <v>65</v>
      </c>
      <c r="E12" s="6" t="s">
        <v>73</v>
      </c>
      <c r="F12" s="6" t="s">
        <v>74</v>
      </c>
      <c r="G12" s="6" t="s">
        <v>49</v>
      </c>
      <c r="H12" s="6" t="s">
        <v>25</v>
      </c>
      <c r="I12" s="6" t="s">
        <v>75</v>
      </c>
      <c r="J12" s="6" t="s">
        <v>38</v>
      </c>
      <c r="K12" s="6">
        <v>92627</v>
      </c>
      <c r="L12" s="6" t="s">
        <v>28</v>
      </c>
      <c r="M12" s="6" t="s">
        <v>80</v>
      </c>
      <c r="N12" s="6" t="s">
        <v>42</v>
      </c>
      <c r="O12" s="6" t="s">
        <v>43</v>
      </c>
      <c r="P12" s="6" t="s">
        <v>81</v>
      </c>
      <c r="Q12" s="6">
        <v>258.57600000000002</v>
      </c>
      <c r="R12" s="6">
        <v>19.3932</v>
      </c>
      <c r="S12" s="6">
        <v>2</v>
      </c>
      <c r="T12" s="7">
        <v>0.2</v>
      </c>
    </row>
    <row r="13" spans="1:20" x14ac:dyDescent="0.35">
      <c r="A13" s="4" t="s">
        <v>72</v>
      </c>
      <c r="B13" s="5">
        <v>44617</v>
      </c>
      <c r="C13" s="5">
        <v>44622</v>
      </c>
      <c r="D13" s="6" t="s">
        <v>65</v>
      </c>
      <c r="E13" s="6" t="s">
        <v>73</v>
      </c>
      <c r="F13" s="6" t="s">
        <v>74</v>
      </c>
      <c r="G13" s="6" t="s">
        <v>49</v>
      </c>
      <c r="H13" s="6" t="s">
        <v>25</v>
      </c>
      <c r="I13" s="6" t="s">
        <v>75</v>
      </c>
      <c r="J13" s="6" t="s">
        <v>38</v>
      </c>
      <c r="K13" s="6">
        <v>92627</v>
      </c>
      <c r="L13" s="6" t="s">
        <v>28</v>
      </c>
      <c r="M13" s="6" t="s">
        <v>82</v>
      </c>
      <c r="N13" s="6" t="s">
        <v>30</v>
      </c>
      <c r="O13" s="6" t="s">
        <v>31</v>
      </c>
      <c r="P13" s="6" t="s">
        <v>83</v>
      </c>
      <c r="Q13" s="6">
        <v>29.6</v>
      </c>
      <c r="R13" s="6">
        <v>13.32</v>
      </c>
      <c r="S13" s="6">
        <v>4</v>
      </c>
      <c r="T13" s="7">
        <v>0</v>
      </c>
    </row>
    <row r="14" spans="1:20" x14ac:dyDescent="0.35">
      <c r="A14" s="4" t="s">
        <v>84</v>
      </c>
      <c r="B14" s="5">
        <v>43665</v>
      </c>
      <c r="C14" s="5">
        <v>43669</v>
      </c>
      <c r="D14" s="6" t="s">
        <v>65</v>
      </c>
      <c r="E14" s="6" t="s">
        <v>85</v>
      </c>
      <c r="F14" s="6" t="s">
        <v>86</v>
      </c>
      <c r="G14" s="6" t="s">
        <v>24</v>
      </c>
      <c r="H14" s="6" t="s">
        <v>25</v>
      </c>
      <c r="I14" s="6" t="s">
        <v>87</v>
      </c>
      <c r="J14" s="6" t="s">
        <v>88</v>
      </c>
      <c r="K14" s="6">
        <v>75217</v>
      </c>
      <c r="L14" s="6" t="s">
        <v>52</v>
      </c>
      <c r="M14" s="6" t="s">
        <v>89</v>
      </c>
      <c r="N14" s="6" t="s">
        <v>30</v>
      </c>
      <c r="O14" s="6" t="s">
        <v>90</v>
      </c>
      <c r="P14" s="6" t="s">
        <v>91</v>
      </c>
      <c r="Q14" s="6">
        <v>342.86399999999998</v>
      </c>
      <c r="R14" s="6">
        <v>38.572200000000002</v>
      </c>
      <c r="S14" s="6">
        <v>3</v>
      </c>
      <c r="T14" s="7">
        <v>0.2</v>
      </c>
    </row>
    <row r="15" spans="1:20" x14ac:dyDescent="0.35">
      <c r="A15" s="4" t="s">
        <v>84</v>
      </c>
      <c r="B15" s="5">
        <v>43665</v>
      </c>
      <c r="C15" s="5">
        <v>43669</v>
      </c>
      <c r="D15" s="6" t="s">
        <v>65</v>
      </c>
      <c r="E15" s="6" t="s">
        <v>85</v>
      </c>
      <c r="F15" s="6" t="s">
        <v>86</v>
      </c>
      <c r="G15" s="6" t="s">
        <v>24</v>
      </c>
      <c r="H15" s="6" t="s">
        <v>25</v>
      </c>
      <c r="I15" s="6" t="s">
        <v>87</v>
      </c>
      <c r="J15" s="6" t="s">
        <v>88</v>
      </c>
      <c r="K15" s="6">
        <v>75217</v>
      </c>
      <c r="L15" s="6" t="s">
        <v>52</v>
      </c>
      <c r="M15" s="6" t="s">
        <v>92</v>
      </c>
      <c r="N15" s="6" t="s">
        <v>77</v>
      </c>
      <c r="O15" s="6" t="s">
        <v>78</v>
      </c>
      <c r="P15" s="6" t="s">
        <v>93</v>
      </c>
      <c r="Q15" s="6">
        <v>16.739999999999998</v>
      </c>
      <c r="R15" s="6">
        <v>-14.228999999999999</v>
      </c>
      <c r="S15" s="6">
        <v>5</v>
      </c>
      <c r="T15" s="7">
        <v>0.6</v>
      </c>
    </row>
    <row r="16" spans="1:20" x14ac:dyDescent="0.35">
      <c r="A16" s="4" t="s">
        <v>84</v>
      </c>
      <c r="B16" s="5">
        <v>43665</v>
      </c>
      <c r="C16" s="5">
        <v>43669</v>
      </c>
      <c r="D16" s="6" t="s">
        <v>65</v>
      </c>
      <c r="E16" s="6" t="s">
        <v>85</v>
      </c>
      <c r="F16" s="6" t="s">
        <v>86</v>
      </c>
      <c r="G16" s="6" t="s">
        <v>24</v>
      </c>
      <c r="H16" s="6" t="s">
        <v>25</v>
      </c>
      <c r="I16" s="6" t="s">
        <v>87</v>
      </c>
      <c r="J16" s="6" t="s">
        <v>88</v>
      </c>
      <c r="K16" s="6">
        <v>75217</v>
      </c>
      <c r="L16" s="6" t="s">
        <v>52</v>
      </c>
      <c r="M16" s="6" t="s">
        <v>94</v>
      </c>
      <c r="N16" s="6" t="s">
        <v>77</v>
      </c>
      <c r="O16" s="6" t="s">
        <v>95</v>
      </c>
      <c r="P16" s="6" t="s">
        <v>96</v>
      </c>
      <c r="Q16" s="6">
        <v>981.37199999999996</v>
      </c>
      <c r="R16" s="6">
        <v>-140.196</v>
      </c>
      <c r="S16" s="6">
        <v>2</v>
      </c>
      <c r="T16" s="7">
        <v>0.3</v>
      </c>
    </row>
    <row r="17" spans="1:20" x14ac:dyDescent="0.35">
      <c r="A17" s="4" t="s">
        <v>97</v>
      </c>
      <c r="B17" s="5">
        <v>44919</v>
      </c>
      <c r="C17" s="5">
        <v>44923</v>
      </c>
      <c r="D17" s="6" t="s">
        <v>65</v>
      </c>
      <c r="E17" s="6" t="s">
        <v>98</v>
      </c>
      <c r="F17" s="6" t="s">
        <v>99</v>
      </c>
      <c r="G17" s="6" t="s">
        <v>49</v>
      </c>
      <c r="H17" s="6" t="s">
        <v>25</v>
      </c>
      <c r="I17" s="6" t="s">
        <v>100</v>
      </c>
      <c r="J17" s="6" t="s">
        <v>101</v>
      </c>
      <c r="K17" s="6">
        <v>7017</v>
      </c>
      <c r="L17" s="6" t="s">
        <v>102</v>
      </c>
      <c r="M17" s="6" t="s">
        <v>103</v>
      </c>
      <c r="N17" s="6" t="s">
        <v>42</v>
      </c>
      <c r="O17" s="6" t="s">
        <v>104</v>
      </c>
      <c r="P17" s="6" t="s">
        <v>105</v>
      </c>
      <c r="Q17" s="6">
        <v>31.8</v>
      </c>
      <c r="R17" s="6">
        <v>13.673999999999999</v>
      </c>
      <c r="S17" s="6">
        <v>3</v>
      </c>
      <c r="T17" s="7">
        <v>0</v>
      </c>
    </row>
    <row r="18" spans="1:20" x14ac:dyDescent="0.35">
      <c r="A18" s="4" t="s">
        <v>106</v>
      </c>
      <c r="B18" s="5">
        <v>44911</v>
      </c>
      <c r="C18" s="5">
        <v>44915</v>
      </c>
      <c r="D18" s="6" t="s">
        <v>65</v>
      </c>
      <c r="E18" s="6" t="s">
        <v>107</v>
      </c>
      <c r="F18" s="6" t="s">
        <v>108</v>
      </c>
      <c r="G18" s="6" t="s">
        <v>109</v>
      </c>
      <c r="H18" s="6" t="s">
        <v>25</v>
      </c>
      <c r="I18" s="6" t="s">
        <v>110</v>
      </c>
      <c r="J18" s="6" t="s">
        <v>111</v>
      </c>
      <c r="K18" s="6">
        <v>54703</v>
      </c>
      <c r="L18" s="6" t="s">
        <v>52</v>
      </c>
      <c r="M18" s="6" t="s">
        <v>112</v>
      </c>
      <c r="N18" s="6" t="s">
        <v>30</v>
      </c>
      <c r="O18" s="6" t="s">
        <v>90</v>
      </c>
      <c r="P18" s="6" t="s">
        <v>113</v>
      </c>
      <c r="Q18" s="6">
        <v>32.56</v>
      </c>
      <c r="R18" s="6">
        <v>8.4656000000000002</v>
      </c>
      <c r="S18" s="6">
        <v>2</v>
      </c>
      <c r="T18" s="7">
        <v>0</v>
      </c>
    </row>
    <row r="19" spans="1:20" hidden="1" x14ac:dyDescent="0.35">
      <c r="A19" s="4" t="s">
        <v>114</v>
      </c>
      <c r="B19" s="5">
        <v>44114</v>
      </c>
      <c r="C19" s="5">
        <v>44121</v>
      </c>
      <c r="D19" s="6" t="s">
        <v>65</v>
      </c>
      <c r="E19" s="6" t="s">
        <v>115</v>
      </c>
      <c r="F19" s="6"/>
      <c r="G19" s="6" t="s">
        <v>49</v>
      </c>
      <c r="H19" s="6" t="s">
        <v>25</v>
      </c>
      <c r="I19" s="6" t="s">
        <v>116</v>
      </c>
      <c r="J19" s="6" t="s">
        <v>117</v>
      </c>
      <c r="K19" s="6">
        <v>33311</v>
      </c>
      <c r="L19" s="6" t="s">
        <v>118</v>
      </c>
      <c r="M19" s="6" t="s">
        <v>119</v>
      </c>
      <c r="N19" s="6" t="s">
        <v>77</v>
      </c>
      <c r="O19" s="6" t="s">
        <v>120</v>
      </c>
      <c r="P19" s="6" t="s">
        <v>121</v>
      </c>
      <c r="Q19" s="6">
        <v>957.57749999999999</v>
      </c>
      <c r="R19" s="6">
        <v>-383.03100000000001</v>
      </c>
      <c r="S19" s="6">
        <v>5</v>
      </c>
      <c r="T19" s="7">
        <v>0.45</v>
      </c>
    </row>
    <row r="20" spans="1:20" x14ac:dyDescent="0.35">
      <c r="A20" s="4" t="s">
        <v>114</v>
      </c>
      <c r="B20" s="5">
        <v>44114</v>
      </c>
      <c r="C20" s="5">
        <v>44121</v>
      </c>
      <c r="D20" s="6" t="s">
        <v>65</v>
      </c>
      <c r="E20" s="6" t="s">
        <v>115</v>
      </c>
      <c r="F20" s="6" t="s">
        <v>122</v>
      </c>
      <c r="G20" s="6" t="s">
        <v>49</v>
      </c>
      <c r="H20" s="6" t="s">
        <v>25</v>
      </c>
      <c r="I20" s="6" t="s">
        <v>116</v>
      </c>
      <c r="J20" s="6" t="s">
        <v>117</v>
      </c>
      <c r="K20" s="6">
        <v>33311</v>
      </c>
      <c r="L20" s="6" t="s">
        <v>118</v>
      </c>
      <c r="M20" s="6" t="s">
        <v>123</v>
      </c>
      <c r="N20" s="6" t="s">
        <v>30</v>
      </c>
      <c r="O20" s="6" t="s">
        <v>90</v>
      </c>
      <c r="P20" s="6" t="s">
        <v>124</v>
      </c>
      <c r="Q20" s="6">
        <v>22.367999999999999</v>
      </c>
      <c r="R20" s="6">
        <v>2.5164</v>
      </c>
      <c r="S20" s="6">
        <v>2</v>
      </c>
      <c r="T20" s="7">
        <v>0.2</v>
      </c>
    </row>
    <row r="21" spans="1:20" x14ac:dyDescent="0.35">
      <c r="A21" s="4" t="s">
        <v>125</v>
      </c>
      <c r="B21" s="5">
        <v>44677</v>
      </c>
      <c r="C21" s="5">
        <v>44681</v>
      </c>
      <c r="D21" s="6" t="s">
        <v>65</v>
      </c>
      <c r="E21" s="6" t="s">
        <v>126</v>
      </c>
      <c r="F21" s="6" t="s">
        <v>127</v>
      </c>
      <c r="G21" s="6" t="s">
        <v>109</v>
      </c>
      <c r="H21" s="6" t="s">
        <v>25</v>
      </c>
      <c r="I21" s="6" t="s">
        <v>128</v>
      </c>
      <c r="J21" s="6" t="s">
        <v>88</v>
      </c>
      <c r="K21" s="6">
        <v>76106</v>
      </c>
      <c r="L21" s="6" t="s">
        <v>52</v>
      </c>
      <c r="M21" s="6" t="s">
        <v>129</v>
      </c>
      <c r="N21" s="6" t="s">
        <v>30</v>
      </c>
      <c r="O21" s="6" t="s">
        <v>130</v>
      </c>
      <c r="P21" s="6" t="s">
        <v>131</v>
      </c>
      <c r="Q21" s="6">
        <v>33.119999999999997</v>
      </c>
      <c r="R21" s="6">
        <v>11.592000000000001</v>
      </c>
      <c r="S21" s="6">
        <v>4</v>
      </c>
      <c r="T21" s="7">
        <v>0.2</v>
      </c>
    </row>
    <row r="22" spans="1:20" x14ac:dyDescent="0.35">
      <c r="A22" s="4" t="s">
        <v>132</v>
      </c>
      <c r="B22" s="5">
        <v>44507</v>
      </c>
      <c r="C22" s="5">
        <v>44510</v>
      </c>
      <c r="D22" s="6" t="s">
        <v>21</v>
      </c>
      <c r="E22" s="6" t="s">
        <v>133</v>
      </c>
      <c r="F22" s="6" t="s">
        <v>134</v>
      </c>
      <c r="G22" s="6" t="s">
        <v>49</v>
      </c>
      <c r="H22" s="6" t="s">
        <v>25</v>
      </c>
      <c r="I22" s="6" t="s">
        <v>135</v>
      </c>
      <c r="J22" s="6" t="s">
        <v>136</v>
      </c>
      <c r="K22" s="6">
        <v>42420</v>
      </c>
      <c r="L22" s="6" t="s">
        <v>118</v>
      </c>
      <c r="M22" s="6" t="s">
        <v>137</v>
      </c>
      <c r="N22" s="6" t="s">
        <v>77</v>
      </c>
      <c r="O22" s="6" t="s">
        <v>138</v>
      </c>
      <c r="P22" s="6" t="s">
        <v>139</v>
      </c>
      <c r="Q22" s="6">
        <v>261.95999999999998</v>
      </c>
      <c r="R22" s="6">
        <v>41.913600000000002</v>
      </c>
      <c r="S22" s="6">
        <v>2</v>
      </c>
      <c r="T22" s="7">
        <v>0</v>
      </c>
    </row>
    <row r="23" spans="1:20" x14ac:dyDescent="0.35">
      <c r="A23" s="4" t="s">
        <v>132</v>
      </c>
      <c r="B23" s="5">
        <v>44507</v>
      </c>
      <c r="C23" s="5">
        <v>44510</v>
      </c>
      <c r="D23" s="6" t="s">
        <v>21</v>
      </c>
      <c r="E23" s="6" t="s">
        <v>133</v>
      </c>
      <c r="F23" s="6" t="s">
        <v>134</v>
      </c>
      <c r="G23" s="6" t="s">
        <v>49</v>
      </c>
      <c r="H23" s="6" t="s">
        <v>25</v>
      </c>
      <c r="I23" s="6" t="s">
        <v>135</v>
      </c>
      <c r="J23" s="6" t="s">
        <v>136</v>
      </c>
      <c r="K23" s="6">
        <v>42420</v>
      </c>
      <c r="L23" s="6" t="s">
        <v>118</v>
      </c>
      <c r="M23" s="6" t="s">
        <v>140</v>
      </c>
      <c r="N23" s="6" t="s">
        <v>77</v>
      </c>
      <c r="O23" s="6" t="s">
        <v>95</v>
      </c>
      <c r="P23" s="6" t="s">
        <v>141</v>
      </c>
      <c r="Q23" s="6">
        <v>731.94</v>
      </c>
      <c r="R23" s="6">
        <v>219.58199999999999</v>
      </c>
      <c r="S23" s="6">
        <v>3</v>
      </c>
      <c r="T23" s="7">
        <v>0</v>
      </c>
    </row>
    <row r="24" spans="1:20" x14ac:dyDescent="0.35">
      <c r="A24" s="4" t="s">
        <v>142</v>
      </c>
      <c r="B24" s="5">
        <v>44650</v>
      </c>
      <c r="C24" s="5">
        <v>44652</v>
      </c>
      <c r="D24" s="6" t="s">
        <v>21</v>
      </c>
      <c r="E24" s="6" t="s">
        <v>143</v>
      </c>
      <c r="F24" s="6" t="s">
        <v>144</v>
      </c>
      <c r="G24" s="6" t="s">
        <v>24</v>
      </c>
      <c r="H24" s="6" t="s">
        <v>25</v>
      </c>
      <c r="I24" s="6" t="s">
        <v>135</v>
      </c>
      <c r="J24" s="6" t="s">
        <v>136</v>
      </c>
      <c r="K24" s="6">
        <v>42420</v>
      </c>
      <c r="L24" s="6" t="s">
        <v>118</v>
      </c>
      <c r="M24" s="6" t="s">
        <v>145</v>
      </c>
      <c r="N24" s="6" t="s">
        <v>77</v>
      </c>
      <c r="O24" s="6" t="s">
        <v>78</v>
      </c>
      <c r="P24" s="6" t="s">
        <v>146</v>
      </c>
      <c r="Q24" s="6">
        <v>61</v>
      </c>
      <c r="R24" s="6">
        <v>25.62</v>
      </c>
      <c r="S24" s="6">
        <v>5</v>
      </c>
      <c r="T24" s="7">
        <v>0</v>
      </c>
    </row>
    <row r="25" spans="1:20" x14ac:dyDescent="0.35">
      <c r="A25" s="4" t="s">
        <v>142</v>
      </c>
      <c r="B25" s="5">
        <v>44650</v>
      </c>
      <c r="C25" s="5">
        <v>44652</v>
      </c>
      <c r="D25" s="6" t="s">
        <v>21</v>
      </c>
      <c r="E25" s="6" t="s">
        <v>143</v>
      </c>
      <c r="F25" s="6" t="s">
        <v>144</v>
      </c>
      <c r="G25" s="6" t="s">
        <v>24</v>
      </c>
      <c r="H25" s="6" t="s">
        <v>25</v>
      </c>
      <c r="I25" s="6" t="s">
        <v>135</v>
      </c>
      <c r="J25" s="6" t="s">
        <v>136</v>
      </c>
      <c r="K25" s="6">
        <v>42420</v>
      </c>
      <c r="L25" s="6" t="s">
        <v>118</v>
      </c>
      <c r="M25" s="6" t="s">
        <v>147</v>
      </c>
      <c r="N25" s="6" t="s">
        <v>42</v>
      </c>
      <c r="O25" s="6" t="s">
        <v>43</v>
      </c>
      <c r="P25" s="6" t="s">
        <v>148</v>
      </c>
      <c r="Q25" s="6">
        <v>671.93</v>
      </c>
      <c r="R25" s="6">
        <v>188.1404</v>
      </c>
      <c r="S25" s="6">
        <v>7</v>
      </c>
      <c r="T25" s="7">
        <v>0</v>
      </c>
    </row>
    <row r="26" spans="1:20" x14ac:dyDescent="0.35">
      <c r="A26" s="4" t="s">
        <v>149</v>
      </c>
      <c r="B26" s="5">
        <v>44600</v>
      </c>
      <c r="C26" s="5">
        <v>44605</v>
      </c>
      <c r="D26" s="6" t="s">
        <v>65</v>
      </c>
      <c r="E26" s="6" t="s">
        <v>150</v>
      </c>
      <c r="F26" s="6" t="s">
        <v>151</v>
      </c>
      <c r="G26" s="6" t="s">
        <v>49</v>
      </c>
      <c r="H26" s="6" t="s">
        <v>25</v>
      </c>
      <c r="I26" s="6" t="s">
        <v>152</v>
      </c>
      <c r="J26" s="6" t="s">
        <v>88</v>
      </c>
      <c r="K26" s="6">
        <v>77070</v>
      </c>
      <c r="L26" s="6" t="s">
        <v>52</v>
      </c>
      <c r="M26" s="6" t="s">
        <v>153</v>
      </c>
      <c r="N26" s="6" t="s">
        <v>30</v>
      </c>
      <c r="O26" s="6" t="s">
        <v>154</v>
      </c>
      <c r="P26" s="6" t="s">
        <v>155</v>
      </c>
      <c r="Q26" s="6">
        <v>252.78399999999999</v>
      </c>
      <c r="R26" s="6">
        <v>-417.09359999999998</v>
      </c>
      <c r="S26" s="6">
        <v>4</v>
      </c>
      <c r="T26" s="7">
        <v>0.8</v>
      </c>
    </row>
    <row r="27" spans="1:20" x14ac:dyDescent="0.35">
      <c r="A27" s="4" t="s">
        <v>149</v>
      </c>
      <c r="B27" s="5">
        <v>44600</v>
      </c>
      <c r="C27" s="5">
        <v>44605</v>
      </c>
      <c r="D27" s="6" t="s">
        <v>65</v>
      </c>
      <c r="E27" s="6" t="s">
        <v>150</v>
      </c>
      <c r="F27" s="6" t="s">
        <v>151</v>
      </c>
      <c r="G27" s="6" t="s">
        <v>49</v>
      </c>
      <c r="H27" s="6" t="s">
        <v>25</v>
      </c>
      <c r="I27" s="6" t="s">
        <v>152</v>
      </c>
      <c r="J27" s="6" t="s">
        <v>88</v>
      </c>
      <c r="K27" s="6">
        <v>77070</v>
      </c>
      <c r="L27" s="6" t="s">
        <v>52</v>
      </c>
      <c r="M27" s="6" t="s">
        <v>156</v>
      </c>
      <c r="N27" s="6" t="s">
        <v>42</v>
      </c>
      <c r="O27" s="6" t="s">
        <v>104</v>
      </c>
      <c r="P27" s="6" t="s">
        <v>157</v>
      </c>
      <c r="Q27" s="6">
        <v>127.98399999999999</v>
      </c>
      <c r="R27" s="6">
        <v>15.997999999999999</v>
      </c>
      <c r="S27" s="6">
        <v>2</v>
      </c>
      <c r="T27" s="7">
        <v>0.2</v>
      </c>
    </row>
    <row r="28" spans="1:20" x14ac:dyDescent="0.35">
      <c r="A28" s="4" t="s">
        <v>149</v>
      </c>
      <c r="B28" s="5">
        <v>44600</v>
      </c>
      <c r="C28" s="5">
        <v>44605</v>
      </c>
      <c r="D28" s="6" t="s">
        <v>65</v>
      </c>
      <c r="E28" s="6" t="s">
        <v>150</v>
      </c>
      <c r="F28" s="6" t="s">
        <v>151</v>
      </c>
      <c r="G28" s="6" t="s">
        <v>49</v>
      </c>
      <c r="H28" s="6" t="s">
        <v>25</v>
      </c>
      <c r="I28" s="6" t="s">
        <v>152</v>
      </c>
      <c r="J28" s="6" t="s">
        <v>88</v>
      </c>
      <c r="K28" s="6">
        <v>77070</v>
      </c>
      <c r="L28" s="6" t="s">
        <v>52</v>
      </c>
      <c r="M28" s="6" t="s">
        <v>158</v>
      </c>
      <c r="N28" s="6" t="s">
        <v>77</v>
      </c>
      <c r="O28" s="6" t="s">
        <v>78</v>
      </c>
      <c r="P28" s="6" t="s">
        <v>159</v>
      </c>
      <c r="Q28" s="6">
        <v>3.984</v>
      </c>
      <c r="R28" s="6">
        <v>-2.6892</v>
      </c>
      <c r="S28" s="6">
        <v>2</v>
      </c>
      <c r="T28" s="7">
        <v>0.6</v>
      </c>
    </row>
    <row r="29" spans="1:20" x14ac:dyDescent="0.35">
      <c r="A29" s="4" t="s">
        <v>149</v>
      </c>
      <c r="B29" s="5">
        <v>44600</v>
      </c>
      <c r="C29" s="5">
        <v>44605</v>
      </c>
      <c r="D29" s="6" t="s">
        <v>65</v>
      </c>
      <c r="E29" s="6" t="s">
        <v>150</v>
      </c>
      <c r="F29" s="6" t="s">
        <v>151</v>
      </c>
      <c r="G29" s="6" t="s">
        <v>49</v>
      </c>
      <c r="H29" s="6" t="s">
        <v>25</v>
      </c>
      <c r="I29" s="6" t="s">
        <v>152</v>
      </c>
      <c r="J29" s="6" t="s">
        <v>88</v>
      </c>
      <c r="K29" s="6">
        <v>77070</v>
      </c>
      <c r="L29" s="6" t="s">
        <v>52</v>
      </c>
      <c r="M29" s="6" t="s">
        <v>160</v>
      </c>
      <c r="N29" s="6" t="s">
        <v>30</v>
      </c>
      <c r="O29" s="6" t="s">
        <v>62</v>
      </c>
      <c r="P29" s="6" t="s">
        <v>161</v>
      </c>
      <c r="Q29" s="6">
        <v>12.992000000000001</v>
      </c>
      <c r="R29" s="6">
        <v>-32.479999999999997</v>
      </c>
      <c r="S29" s="6">
        <v>2</v>
      </c>
      <c r="T29" s="7">
        <v>0.8</v>
      </c>
    </row>
    <row r="30" spans="1:20" x14ac:dyDescent="0.35">
      <c r="A30" s="4" t="s">
        <v>162</v>
      </c>
      <c r="B30" s="5">
        <v>44358</v>
      </c>
      <c r="C30" s="5">
        <v>44362</v>
      </c>
      <c r="D30" s="6" t="s">
        <v>21</v>
      </c>
      <c r="E30" s="6" t="s">
        <v>163</v>
      </c>
      <c r="F30" s="6" t="s">
        <v>164</v>
      </c>
      <c r="G30" s="6" t="s">
        <v>109</v>
      </c>
      <c r="H30" s="6" t="s">
        <v>25</v>
      </c>
      <c r="I30" s="6" t="s">
        <v>165</v>
      </c>
      <c r="J30" s="6" t="s">
        <v>38</v>
      </c>
      <c r="K30" s="6">
        <v>90036</v>
      </c>
      <c r="L30" s="6" t="s">
        <v>28</v>
      </c>
      <c r="M30" s="6" t="s">
        <v>166</v>
      </c>
      <c r="N30" s="6" t="s">
        <v>30</v>
      </c>
      <c r="O30" s="6" t="s">
        <v>130</v>
      </c>
      <c r="P30" s="6" t="s">
        <v>167</v>
      </c>
      <c r="Q30" s="6">
        <v>14.62</v>
      </c>
      <c r="R30" s="6">
        <v>6.8714000000000004</v>
      </c>
      <c r="S30" s="6">
        <v>2</v>
      </c>
      <c r="T30" s="7">
        <v>0</v>
      </c>
    </row>
    <row r="31" spans="1:20" x14ac:dyDescent="0.35">
      <c r="A31" s="4" t="s">
        <v>168</v>
      </c>
      <c r="B31" s="5">
        <v>44198</v>
      </c>
      <c r="C31" s="5">
        <v>44200</v>
      </c>
      <c r="D31" s="6" t="s">
        <v>34</v>
      </c>
      <c r="E31" s="6" t="s">
        <v>169</v>
      </c>
      <c r="F31" s="6" t="s">
        <v>170</v>
      </c>
      <c r="G31" s="6" t="s">
        <v>49</v>
      </c>
      <c r="H31" s="6" t="s">
        <v>25</v>
      </c>
      <c r="I31" s="6" t="s">
        <v>165</v>
      </c>
      <c r="J31" s="6" t="s">
        <v>38</v>
      </c>
      <c r="K31" s="6">
        <v>90045</v>
      </c>
      <c r="L31" s="6" t="s">
        <v>28</v>
      </c>
      <c r="M31" s="6" t="s">
        <v>171</v>
      </c>
      <c r="N31" s="6" t="s">
        <v>30</v>
      </c>
      <c r="O31" s="6" t="s">
        <v>90</v>
      </c>
      <c r="P31" s="6" t="s">
        <v>172</v>
      </c>
      <c r="Q31" s="6">
        <v>114.46</v>
      </c>
      <c r="R31" s="6">
        <v>28.614999999999998</v>
      </c>
      <c r="S31" s="6">
        <v>2</v>
      </c>
      <c r="T31" s="7">
        <v>0</v>
      </c>
    </row>
    <row r="32" spans="1:20" x14ac:dyDescent="0.35">
      <c r="A32" s="4" t="s">
        <v>173</v>
      </c>
      <c r="B32" s="5">
        <v>44106</v>
      </c>
      <c r="C32" s="5">
        <v>44111</v>
      </c>
      <c r="D32" s="6" t="s">
        <v>65</v>
      </c>
      <c r="E32" s="6" t="s">
        <v>174</v>
      </c>
      <c r="F32" s="6" t="s">
        <v>175</v>
      </c>
      <c r="G32" s="6" t="s">
        <v>49</v>
      </c>
      <c r="H32" s="6" t="s">
        <v>25</v>
      </c>
      <c r="I32" s="6" t="s">
        <v>165</v>
      </c>
      <c r="J32" s="6" t="s">
        <v>38</v>
      </c>
      <c r="K32" s="6">
        <v>90032</v>
      </c>
      <c r="L32" s="6" t="s">
        <v>28</v>
      </c>
      <c r="M32" s="6" t="s">
        <v>176</v>
      </c>
      <c r="N32" s="6" t="s">
        <v>77</v>
      </c>
      <c r="O32" s="6" t="s">
        <v>138</v>
      </c>
      <c r="P32" s="6" t="s">
        <v>177</v>
      </c>
      <c r="Q32" s="6">
        <v>120.666</v>
      </c>
      <c r="R32" s="6">
        <v>18.454799999999999</v>
      </c>
      <c r="S32" s="6">
        <v>2</v>
      </c>
      <c r="T32" s="7">
        <v>0.15</v>
      </c>
    </row>
    <row r="33" spans="1:20" x14ac:dyDescent="0.35">
      <c r="A33" s="4" t="s">
        <v>178</v>
      </c>
      <c r="B33" s="5">
        <v>44178</v>
      </c>
      <c r="C33" s="5">
        <v>44183</v>
      </c>
      <c r="D33" s="6" t="s">
        <v>21</v>
      </c>
      <c r="E33" s="6" t="s">
        <v>179</v>
      </c>
      <c r="F33" s="6" t="s">
        <v>180</v>
      </c>
      <c r="G33" s="6" t="s">
        <v>49</v>
      </c>
      <c r="H33" s="6" t="s">
        <v>25</v>
      </c>
      <c r="I33" s="6" t="s">
        <v>165</v>
      </c>
      <c r="J33" s="6" t="s">
        <v>38</v>
      </c>
      <c r="K33" s="6">
        <v>90045</v>
      </c>
      <c r="L33" s="6" t="s">
        <v>28</v>
      </c>
      <c r="M33" s="6" t="s">
        <v>181</v>
      </c>
      <c r="N33" s="6" t="s">
        <v>42</v>
      </c>
      <c r="O33" s="6" t="s">
        <v>104</v>
      </c>
      <c r="P33" s="6" t="s">
        <v>182</v>
      </c>
      <c r="Q33" s="6">
        <v>50</v>
      </c>
      <c r="R33" s="6">
        <v>10.5</v>
      </c>
      <c r="S33" s="6">
        <v>2</v>
      </c>
      <c r="T33" s="7">
        <v>0</v>
      </c>
    </row>
    <row r="34" spans="1:20" x14ac:dyDescent="0.35">
      <c r="A34" s="4" t="s">
        <v>183</v>
      </c>
      <c r="B34" s="5">
        <v>44707</v>
      </c>
      <c r="C34" s="5">
        <v>44713</v>
      </c>
      <c r="D34" s="6" t="s">
        <v>65</v>
      </c>
      <c r="E34" s="6" t="s">
        <v>184</v>
      </c>
      <c r="F34" s="6" t="s">
        <v>185</v>
      </c>
      <c r="G34" s="6" t="s">
        <v>24</v>
      </c>
      <c r="H34" s="6" t="s">
        <v>25</v>
      </c>
      <c r="I34" s="6" t="s">
        <v>186</v>
      </c>
      <c r="J34" s="6"/>
      <c r="K34" s="6">
        <v>40214</v>
      </c>
      <c r="L34" s="6" t="s">
        <v>118</v>
      </c>
      <c r="M34" s="6" t="s">
        <v>187</v>
      </c>
      <c r="N34" s="6" t="s">
        <v>30</v>
      </c>
      <c r="O34" s="6" t="s">
        <v>154</v>
      </c>
      <c r="P34" s="6" t="s">
        <v>188</v>
      </c>
      <c r="Q34" s="6">
        <v>58.34</v>
      </c>
      <c r="R34" s="6">
        <v>28.0032</v>
      </c>
      <c r="S34" s="6">
        <v>2</v>
      </c>
      <c r="T34" s="7">
        <v>0</v>
      </c>
    </row>
    <row r="35" spans="1:20" x14ac:dyDescent="0.35">
      <c r="A35" s="4" t="s">
        <v>183</v>
      </c>
      <c r="B35" s="5">
        <v>44707</v>
      </c>
      <c r="C35" s="5">
        <v>44713</v>
      </c>
      <c r="D35" s="6" t="s">
        <v>65</v>
      </c>
      <c r="E35" s="6" t="s">
        <v>184</v>
      </c>
      <c r="F35" s="6" t="s">
        <v>185</v>
      </c>
      <c r="G35" s="6" t="s">
        <v>24</v>
      </c>
      <c r="H35" s="6" t="s">
        <v>25</v>
      </c>
      <c r="I35" s="6" t="s">
        <v>186</v>
      </c>
      <c r="J35" s="6" t="s">
        <v>136</v>
      </c>
      <c r="K35" s="6">
        <v>40214</v>
      </c>
      <c r="L35" s="6" t="s">
        <v>118</v>
      </c>
      <c r="M35" s="6" t="s">
        <v>189</v>
      </c>
      <c r="N35" s="6" t="s">
        <v>42</v>
      </c>
      <c r="O35" s="6" t="s">
        <v>43</v>
      </c>
      <c r="P35" s="6" t="s">
        <v>190</v>
      </c>
      <c r="Q35" s="6">
        <v>539.97</v>
      </c>
      <c r="R35" s="6">
        <v>134.99250000000001</v>
      </c>
      <c r="S35" s="6">
        <v>3</v>
      </c>
      <c r="T35" s="7">
        <v>0</v>
      </c>
    </row>
    <row r="36" spans="1:20" x14ac:dyDescent="0.35">
      <c r="A36" s="4" t="s">
        <v>191</v>
      </c>
      <c r="B36" s="5">
        <v>43492</v>
      </c>
      <c r="C36" s="5">
        <v>43498</v>
      </c>
      <c r="D36" s="6" t="s">
        <v>65</v>
      </c>
      <c r="E36" s="6" t="s">
        <v>192</v>
      </c>
      <c r="F36" s="6" t="s">
        <v>193</v>
      </c>
      <c r="G36" s="6" t="s">
        <v>49</v>
      </c>
      <c r="H36" s="6" t="s">
        <v>25</v>
      </c>
      <c r="I36" s="6" t="s">
        <v>194</v>
      </c>
      <c r="J36" s="6" t="s">
        <v>195</v>
      </c>
      <c r="K36" s="6">
        <v>10024</v>
      </c>
      <c r="L36" s="6" t="s">
        <v>102</v>
      </c>
      <c r="M36" s="6" t="s">
        <v>196</v>
      </c>
      <c r="N36" s="6" t="s">
        <v>30</v>
      </c>
      <c r="O36" s="6" t="s">
        <v>154</v>
      </c>
      <c r="P36" s="6" t="s">
        <v>197</v>
      </c>
      <c r="Q36" s="6">
        <v>3.9279999999999999</v>
      </c>
      <c r="R36" s="6">
        <v>1.3257000000000001</v>
      </c>
      <c r="S36" s="6">
        <v>1</v>
      </c>
      <c r="T36" s="7">
        <v>0.2</v>
      </c>
    </row>
    <row r="37" spans="1:20" x14ac:dyDescent="0.35">
      <c r="A37" s="4" t="s">
        <v>198</v>
      </c>
      <c r="B37" s="5">
        <v>43785</v>
      </c>
      <c r="C37" s="5">
        <v>43790</v>
      </c>
      <c r="D37" s="6" t="s">
        <v>65</v>
      </c>
      <c r="E37" s="6" t="s">
        <v>199</v>
      </c>
      <c r="F37" s="6" t="s">
        <v>200</v>
      </c>
      <c r="G37" s="6" t="s">
        <v>109</v>
      </c>
      <c r="H37" s="6" t="s">
        <v>25</v>
      </c>
      <c r="I37" s="6" t="s">
        <v>201</v>
      </c>
      <c r="J37" s="6" t="s">
        <v>202</v>
      </c>
      <c r="K37" s="6">
        <v>19711</v>
      </c>
      <c r="L37" s="6" t="s">
        <v>102</v>
      </c>
      <c r="M37" s="6" t="s">
        <v>203</v>
      </c>
      <c r="N37" s="6" t="s">
        <v>30</v>
      </c>
      <c r="O37" s="6" t="s">
        <v>90</v>
      </c>
      <c r="P37" s="6" t="s">
        <v>204</v>
      </c>
      <c r="Q37" s="6">
        <v>2934.33</v>
      </c>
      <c r="R37" s="6">
        <v>792.26909999999998</v>
      </c>
      <c r="S37" s="6">
        <v>7</v>
      </c>
      <c r="T37" s="7">
        <v>0</v>
      </c>
    </row>
    <row r="38" spans="1:20" x14ac:dyDescent="0.35">
      <c r="A38" s="4" t="s">
        <v>198</v>
      </c>
      <c r="B38" s="5">
        <v>43785</v>
      </c>
      <c r="C38" s="5">
        <v>43790</v>
      </c>
      <c r="D38" s="6" t="s">
        <v>65</v>
      </c>
      <c r="E38" s="6" t="s">
        <v>199</v>
      </c>
      <c r="F38" s="6" t="s">
        <v>200</v>
      </c>
      <c r="G38" s="6" t="s">
        <v>109</v>
      </c>
      <c r="H38" s="6" t="s">
        <v>25</v>
      </c>
      <c r="I38" s="6" t="s">
        <v>201</v>
      </c>
      <c r="J38" s="6" t="s">
        <v>202</v>
      </c>
      <c r="K38" s="6">
        <v>19711</v>
      </c>
      <c r="L38" s="6" t="s">
        <v>102</v>
      </c>
      <c r="M38" s="6" t="s">
        <v>205</v>
      </c>
      <c r="N38" s="6" t="s">
        <v>77</v>
      </c>
      <c r="O38" s="6" t="s">
        <v>78</v>
      </c>
      <c r="P38" s="6" t="s">
        <v>206</v>
      </c>
      <c r="Q38" s="6">
        <v>124.41</v>
      </c>
      <c r="R38" s="6">
        <v>14.9292</v>
      </c>
      <c r="S38" s="6">
        <v>3</v>
      </c>
      <c r="T38" s="7">
        <v>0</v>
      </c>
    </row>
    <row r="39" spans="1:20" x14ac:dyDescent="0.35">
      <c r="A39" s="4" t="s">
        <v>198</v>
      </c>
      <c r="B39" s="5">
        <v>43785</v>
      </c>
      <c r="C39" s="5">
        <v>43790</v>
      </c>
      <c r="D39" s="6" t="s">
        <v>65</v>
      </c>
      <c r="E39" s="6" t="s">
        <v>199</v>
      </c>
      <c r="F39" s="6" t="s">
        <v>200</v>
      </c>
      <c r="G39" s="6" t="s">
        <v>109</v>
      </c>
      <c r="H39" s="6" t="s">
        <v>25</v>
      </c>
      <c r="I39" s="6" t="s">
        <v>201</v>
      </c>
      <c r="J39" s="6" t="s">
        <v>202</v>
      </c>
      <c r="K39" s="6">
        <v>19711</v>
      </c>
      <c r="L39" s="6" t="s">
        <v>102</v>
      </c>
      <c r="M39" s="6" t="s">
        <v>207</v>
      </c>
      <c r="N39" s="6" t="s">
        <v>30</v>
      </c>
      <c r="O39" s="6" t="s">
        <v>208</v>
      </c>
      <c r="P39" s="6" t="s">
        <v>209</v>
      </c>
      <c r="Q39" s="6">
        <v>57.75</v>
      </c>
      <c r="R39" s="6">
        <v>26.565000000000001</v>
      </c>
      <c r="S39" s="6">
        <v>5</v>
      </c>
      <c r="T39" s="7">
        <v>0</v>
      </c>
    </row>
    <row r="40" spans="1:20" x14ac:dyDescent="0.35">
      <c r="A40" s="4" t="s">
        <v>210</v>
      </c>
      <c r="B40" s="5">
        <v>44257</v>
      </c>
      <c r="C40" s="5">
        <v>44262</v>
      </c>
      <c r="D40" s="6" t="s">
        <v>65</v>
      </c>
      <c r="E40" s="6" t="s">
        <v>211</v>
      </c>
      <c r="F40" s="6" t="s">
        <v>212</v>
      </c>
      <c r="G40" s="6" t="s">
        <v>49</v>
      </c>
      <c r="H40" s="6" t="s">
        <v>25</v>
      </c>
      <c r="I40" s="6" t="s">
        <v>201</v>
      </c>
      <c r="J40" s="6" t="s">
        <v>202</v>
      </c>
      <c r="K40" s="6">
        <v>19711</v>
      </c>
      <c r="L40" s="6" t="s">
        <v>102</v>
      </c>
      <c r="M40" s="6" t="s">
        <v>213</v>
      </c>
      <c r="N40" s="6" t="s">
        <v>30</v>
      </c>
      <c r="O40" s="6" t="s">
        <v>154</v>
      </c>
      <c r="P40" s="6" t="s">
        <v>214</v>
      </c>
      <c r="Q40" s="6">
        <v>447.86</v>
      </c>
      <c r="R40" s="6">
        <v>219.45140000000001</v>
      </c>
      <c r="S40" s="6">
        <v>7</v>
      </c>
      <c r="T40" s="7">
        <v>0</v>
      </c>
    </row>
    <row r="41" spans="1:20" x14ac:dyDescent="0.35">
      <c r="A41" s="4" t="s">
        <v>210</v>
      </c>
      <c r="B41" s="5">
        <v>44257</v>
      </c>
      <c r="C41" s="5">
        <v>44262</v>
      </c>
      <c r="D41" s="6" t="s">
        <v>65</v>
      </c>
      <c r="E41" s="6" t="s">
        <v>211</v>
      </c>
      <c r="F41" s="6" t="s">
        <v>212</v>
      </c>
      <c r="G41" s="6" t="s">
        <v>49</v>
      </c>
      <c r="H41" s="6" t="s">
        <v>25</v>
      </c>
      <c r="I41" s="6" t="s">
        <v>201</v>
      </c>
      <c r="J41" s="6" t="s">
        <v>202</v>
      </c>
      <c r="K41" s="6">
        <v>19711</v>
      </c>
      <c r="L41" s="6" t="s">
        <v>102</v>
      </c>
      <c r="M41" s="6" t="s">
        <v>215</v>
      </c>
      <c r="N41" s="6" t="s">
        <v>42</v>
      </c>
      <c r="O41" s="6" t="s">
        <v>43</v>
      </c>
      <c r="P41" s="6" t="s">
        <v>216</v>
      </c>
      <c r="Q41" s="6">
        <v>479.95</v>
      </c>
      <c r="R41" s="6">
        <v>129.5865</v>
      </c>
      <c r="S41" s="6">
        <v>5</v>
      </c>
      <c r="T41" s="7">
        <v>0</v>
      </c>
    </row>
    <row r="42" spans="1:20" x14ac:dyDescent="0.35">
      <c r="A42" s="4" t="s">
        <v>210</v>
      </c>
      <c r="B42" s="5">
        <v>44257</v>
      </c>
      <c r="C42" s="5">
        <v>44262</v>
      </c>
      <c r="D42" s="6" t="s">
        <v>65</v>
      </c>
      <c r="E42" s="6" t="s">
        <v>211</v>
      </c>
      <c r="F42" s="6" t="s">
        <v>212</v>
      </c>
      <c r="G42" s="6" t="s">
        <v>49</v>
      </c>
      <c r="H42" s="6" t="s">
        <v>25</v>
      </c>
      <c r="I42" s="6" t="s">
        <v>201</v>
      </c>
      <c r="J42" s="6" t="s">
        <v>202</v>
      </c>
      <c r="K42" s="6">
        <v>19711</v>
      </c>
      <c r="L42" s="6" t="s">
        <v>102</v>
      </c>
      <c r="M42" s="6" t="s">
        <v>217</v>
      </c>
      <c r="N42" s="6" t="s">
        <v>30</v>
      </c>
      <c r="O42" s="6" t="s">
        <v>31</v>
      </c>
      <c r="P42" s="6" t="s">
        <v>218</v>
      </c>
      <c r="Q42" s="6">
        <v>166.44</v>
      </c>
      <c r="R42" s="6">
        <v>79.891199999999998</v>
      </c>
      <c r="S42" s="6">
        <v>3</v>
      </c>
      <c r="T42" s="7">
        <v>0</v>
      </c>
    </row>
    <row r="43" spans="1:20" x14ac:dyDescent="0.35">
      <c r="A43" s="4" t="s">
        <v>198</v>
      </c>
      <c r="B43" s="5">
        <v>43785</v>
      </c>
      <c r="C43" s="5">
        <v>43790</v>
      </c>
      <c r="D43" s="6" t="s">
        <v>65</v>
      </c>
      <c r="E43" s="6" t="s">
        <v>199</v>
      </c>
      <c r="F43" s="6" t="s">
        <v>200</v>
      </c>
      <c r="G43" s="6" t="s">
        <v>109</v>
      </c>
      <c r="H43" s="6" t="s">
        <v>25</v>
      </c>
      <c r="I43" s="6" t="s">
        <v>201</v>
      </c>
      <c r="J43" s="6" t="s">
        <v>202</v>
      </c>
      <c r="K43" s="6">
        <v>19711</v>
      </c>
      <c r="L43" s="6" t="s">
        <v>102</v>
      </c>
      <c r="M43" s="6" t="s">
        <v>203</v>
      </c>
      <c r="N43" s="6" t="s">
        <v>30</v>
      </c>
      <c r="O43" s="6" t="s">
        <v>90</v>
      </c>
      <c r="P43" s="6" t="s">
        <v>204</v>
      </c>
      <c r="Q43" s="6">
        <v>2934.33</v>
      </c>
      <c r="R43" s="6">
        <v>792.26909999999998</v>
      </c>
      <c r="S43" s="6">
        <v>7</v>
      </c>
      <c r="T43" s="7">
        <v>0</v>
      </c>
    </row>
    <row r="44" spans="1:20" x14ac:dyDescent="0.35">
      <c r="A44" s="4" t="s">
        <v>210</v>
      </c>
      <c r="B44" s="5">
        <v>44257</v>
      </c>
      <c r="C44" s="5">
        <v>44262</v>
      </c>
      <c r="D44" s="6" t="s">
        <v>65</v>
      </c>
      <c r="E44" s="6" t="s">
        <v>211</v>
      </c>
      <c r="F44" s="6" t="s">
        <v>212</v>
      </c>
      <c r="G44" s="6" t="s">
        <v>49</v>
      </c>
      <c r="H44" s="6" t="s">
        <v>25</v>
      </c>
      <c r="I44" s="6" t="s">
        <v>201</v>
      </c>
      <c r="J44" s="6" t="s">
        <v>202</v>
      </c>
      <c r="K44" s="6">
        <v>19711</v>
      </c>
      <c r="L44" s="6" t="s">
        <v>102</v>
      </c>
      <c r="M44" s="6" t="s">
        <v>217</v>
      </c>
      <c r="N44" s="6" t="s">
        <v>30</v>
      </c>
      <c r="O44" s="6" t="s">
        <v>31</v>
      </c>
      <c r="P44" s="6" t="s">
        <v>218</v>
      </c>
      <c r="Q44" s="6">
        <v>166.44</v>
      </c>
      <c r="R44" s="6">
        <v>79.891199999999998</v>
      </c>
      <c r="S44" s="6">
        <v>3</v>
      </c>
      <c r="T44" s="7">
        <v>0</v>
      </c>
    </row>
    <row r="45" spans="1:20" x14ac:dyDescent="0.35">
      <c r="A45" s="4" t="s">
        <v>219</v>
      </c>
      <c r="B45" s="5">
        <v>43605</v>
      </c>
      <c r="C45" s="5">
        <v>43609</v>
      </c>
      <c r="D45" s="6" t="s">
        <v>65</v>
      </c>
      <c r="E45" s="6" t="s">
        <v>220</v>
      </c>
      <c r="F45" s="6" t="s">
        <v>221</v>
      </c>
      <c r="G45" s="6" t="s">
        <v>24</v>
      </c>
      <c r="H45" s="6" t="s">
        <v>25</v>
      </c>
      <c r="I45" s="6" t="s">
        <v>222</v>
      </c>
      <c r="J45" s="6" t="s">
        <v>38</v>
      </c>
      <c r="K45" s="6">
        <v>92037</v>
      </c>
      <c r="L45" s="6" t="s">
        <v>28</v>
      </c>
      <c r="M45" s="6" t="s">
        <v>223</v>
      </c>
      <c r="N45" s="6" t="s">
        <v>30</v>
      </c>
      <c r="O45" s="6" t="s">
        <v>208</v>
      </c>
      <c r="P45" s="6" t="s">
        <v>224</v>
      </c>
      <c r="Q45" s="6">
        <v>31.84</v>
      </c>
      <c r="R45" s="6">
        <v>10.507199999999999</v>
      </c>
      <c r="S45" s="6">
        <v>8</v>
      </c>
      <c r="T45" s="7">
        <v>0</v>
      </c>
    </row>
    <row r="46" spans="1:20" x14ac:dyDescent="0.35">
      <c r="A46" s="4" t="s">
        <v>225</v>
      </c>
      <c r="B46" s="5">
        <v>43821</v>
      </c>
      <c r="C46" s="5">
        <v>43825</v>
      </c>
      <c r="D46" s="6" t="s">
        <v>21</v>
      </c>
      <c r="E46" s="6" t="s">
        <v>226</v>
      </c>
      <c r="F46" s="6" t="s">
        <v>227</v>
      </c>
      <c r="G46" s="6" t="s">
        <v>49</v>
      </c>
      <c r="H46" s="6" t="s">
        <v>25</v>
      </c>
      <c r="I46" s="6" t="s">
        <v>228</v>
      </c>
      <c r="J46" s="6" t="s">
        <v>117</v>
      </c>
      <c r="K46" s="6">
        <v>33614</v>
      </c>
      <c r="L46" s="6" t="s">
        <v>118</v>
      </c>
      <c r="M46" s="6" t="s">
        <v>229</v>
      </c>
      <c r="N46" s="6" t="s">
        <v>30</v>
      </c>
      <c r="O46" s="6" t="s">
        <v>31</v>
      </c>
      <c r="P46" s="6" t="s">
        <v>230</v>
      </c>
      <c r="Q46" s="6">
        <v>45.527999999999999</v>
      </c>
      <c r="R46" s="6">
        <v>15.934799999999999</v>
      </c>
      <c r="S46" s="6">
        <v>3</v>
      </c>
      <c r="T46" s="7">
        <v>0.2</v>
      </c>
    </row>
    <row r="47" spans="1:20" x14ac:dyDescent="0.35">
      <c r="A47" s="4" t="s">
        <v>225</v>
      </c>
      <c r="B47" s="5">
        <v>43821</v>
      </c>
      <c r="C47" s="5">
        <v>43825</v>
      </c>
      <c r="D47" s="6" t="s">
        <v>21</v>
      </c>
      <c r="E47" s="6" t="s">
        <v>226</v>
      </c>
      <c r="F47" s="6" t="s">
        <v>227</v>
      </c>
      <c r="G47" s="6" t="s">
        <v>49</v>
      </c>
      <c r="H47" s="6" t="s">
        <v>25</v>
      </c>
      <c r="I47" s="6" t="s">
        <v>228</v>
      </c>
      <c r="J47" s="6" t="s">
        <v>117</v>
      </c>
      <c r="K47" s="6">
        <v>33614</v>
      </c>
      <c r="L47" s="6" t="s">
        <v>118</v>
      </c>
      <c r="M47" s="6" t="s">
        <v>231</v>
      </c>
      <c r="N47" s="6" t="s">
        <v>77</v>
      </c>
      <c r="O47" s="6" t="s">
        <v>95</v>
      </c>
      <c r="P47" s="6" t="s">
        <v>232</v>
      </c>
      <c r="Q47" s="6">
        <v>64.784000000000006</v>
      </c>
      <c r="R47" s="6">
        <v>6.4783999999999997</v>
      </c>
      <c r="S47" s="6">
        <v>1</v>
      </c>
      <c r="T47" s="7">
        <v>0.2</v>
      </c>
    </row>
    <row r="48" spans="1:20" x14ac:dyDescent="0.35">
      <c r="A48" s="8" t="s">
        <v>225</v>
      </c>
      <c r="B48" s="9">
        <v>43821</v>
      </c>
      <c r="C48" s="9">
        <v>43825</v>
      </c>
      <c r="D48" s="10" t="s">
        <v>21</v>
      </c>
      <c r="E48" s="10" t="s">
        <v>226</v>
      </c>
      <c r="F48" s="10" t="s">
        <v>227</v>
      </c>
      <c r="G48" s="10" t="s">
        <v>49</v>
      </c>
      <c r="H48" s="10" t="s">
        <v>25</v>
      </c>
      <c r="I48" s="10" t="s">
        <v>228</v>
      </c>
      <c r="J48" s="10" t="s">
        <v>117</v>
      </c>
      <c r="K48" s="10">
        <v>33614</v>
      </c>
      <c r="L48" s="10" t="s">
        <v>118</v>
      </c>
      <c r="M48" s="10" t="s">
        <v>233</v>
      </c>
      <c r="N48" s="10" t="s">
        <v>30</v>
      </c>
      <c r="O48" s="10" t="s">
        <v>90</v>
      </c>
      <c r="P48" s="10" t="s">
        <v>234</v>
      </c>
      <c r="Q48" s="10">
        <v>424.27199999999999</v>
      </c>
      <c r="R48" s="10">
        <v>-10.6068</v>
      </c>
      <c r="S48" s="10">
        <v>2</v>
      </c>
      <c r="T48" s="11">
        <v>0.2</v>
      </c>
    </row>
    <row r="49" spans="1:20" x14ac:dyDescent="0.35">
      <c r="A49" t="s">
        <v>235</v>
      </c>
      <c r="B49" s="12">
        <v>44894</v>
      </c>
      <c r="C49" s="12">
        <v>44894</v>
      </c>
      <c r="D49" t="s">
        <v>46</v>
      </c>
      <c r="E49" t="s">
        <v>236</v>
      </c>
      <c r="F49" t="s">
        <v>237</v>
      </c>
      <c r="G49" t="s">
        <v>24</v>
      </c>
      <c r="H49" t="s">
        <v>25</v>
      </c>
      <c r="I49" t="s">
        <v>238</v>
      </c>
      <c r="J49" t="s">
        <v>239</v>
      </c>
      <c r="K49">
        <v>43615</v>
      </c>
      <c r="L49" t="s">
        <v>102</v>
      </c>
      <c r="M49" t="s">
        <v>240</v>
      </c>
      <c r="N49" t="s">
        <v>30</v>
      </c>
      <c r="O49" t="s">
        <v>62</v>
      </c>
      <c r="P49" t="s">
        <v>241</v>
      </c>
      <c r="Q49">
        <v>663.93600000000004</v>
      </c>
      <c r="R49">
        <v>82.992000000000004</v>
      </c>
      <c r="S49">
        <v>4</v>
      </c>
      <c r="T49">
        <v>0.2</v>
      </c>
    </row>
    <row r="50" spans="1:20" x14ac:dyDescent="0.35">
      <c r="A50" t="s">
        <v>235</v>
      </c>
      <c r="B50" s="12">
        <v>44894</v>
      </c>
      <c r="C50" s="12">
        <v>44894</v>
      </c>
      <c r="D50" t="s">
        <v>46</v>
      </c>
      <c r="E50" t="s">
        <v>236</v>
      </c>
      <c r="F50" t="s">
        <v>237</v>
      </c>
      <c r="G50" t="s">
        <v>24</v>
      </c>
      <c r="H50" t="s">
        <v>25</v>
      </c>
      <c r="I50" t="s">
        <v>238</v>
      </c>
      <c r="J50" t="s">
        <v>239</v>
      </c>
      <c r="K50">
        <v>43615</v>
      </c>
      <c r="L50" t="s">
        <v>102</v>
      </c>
      <c r="M50" t="s">
        <v>240</v>
      </c>
      <c r="N50" t="s">
        <v>30</v>
      </c>
      <c r="O50" t="s">
        <v>62</v>
      </c>
      <c r="P50" t="s">
        <v>241</v>
      </c>
      <c r="Q50">
        <v>663.93600000000004</v>
      </c>
      <c r="R50">
        <v>82.992000000000004</v>
      </c>
      <c r="S50">
        <v>4</v>
      </c>
      <c r="T50">
        <v>0.2</v>
      </c>
    </row>
    <row r="51" spans="1:20" x14ac:dyDescent="0.35">
      <c r="A51" t="s">
        <v>242</v>
      </c>
      <c r="B51" s="12">
        <v>44684</v>
      </c>
      <c r="C51" s="12">
        <v>44689</v>
      </c>
      <c r="D51" t="s">
        <v>21</v>
      </c>
      <c r="E51" t="s">
        <v>243</v>
      </c>
      <c r="F51" t="s">
        <v>244</v>
      </c>
      <c r="G51" t="s">
        <v>49</v>
      </c>
      <c r="H51" t="s">
        <v>25</v>
      </c>
      <c r="I51" t="s">
        <v>245</v>
      </c>
      <c r="J51" t="s">
        <v>38</v>
      </c>
      <c r="K51">
        <v>92683</v>
      </c>
      <c r="L51" t="s">
        <v>28</v>
      </c>
      <c r="M51" t="s">
        <v>246</v>
      </c>
      <c r="N51" t="s">
        <v>30</v>
      </c>
      <c r="O51" t="s">
        <v>62</v>
      </c>
      <c r="P51" t="s">
        <v>247</v>
      </c>
      <c r="Q51">
        <v>243.16</v>
      </c>
      <c r="R51">
        <v>72.947999999999993</v>
      </c>
      <c r="S51">
        <v>2</v>
      </c>
      <c r="T51">
        <v>0</v>
      </c>
    </row>
  </sheetData>
  <autoFilter ref="A1:T51" xr:uid="{00000000-0001-0000-0000-000000000000}">
    <filterColumn colId="5">
      <customFilters>
        <customFilter operator="notEqual" val=" "/>
      </customFilters>
    </filterColumn>
    <sortState xmlns:xlrd2="http://schemas.microsoft.com/office/spreadsheetml/2017/richdata2" ref="A2:T51">
      <sortCondition ref="I2:I5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93643-C84C-4914-B474-0494A508EF4B}">
  <dimension ref="A1:E18"/>
  <sheetViews>
    <sheetView workbookViewId="0">
      <selection activeCell="E4" sqref="E4"/>
    </sheetView>
  </sheetViews>
  <sheetFormatPr defaultRowHeight="14.5" x14ac:dyDescent="0.35"/>
  <cols>
    <col min="1" max="1" width="21.36328125" bestFit="1" customWidth="1"/>
    <col min="2" max="2" width="11.81640625" bestFit="1" customWidth="1"/>
  </cols>
  <sheetData>
    <row r="1" spans="1:5" x14ac:dyDescent="0.35">
      <c r="A1" s="14" t="s">
        <v>17</v>
      </c>
      <c r="B1" s="14"/>
    </row>
    <row r="3" spans="1:5" x14ac:dyDescent="0.35">
      <c r="A3" t="s">
        <v>248</v>
      </c>
      <c r="B3">
        <v>48.179901999999998</v>
      </c>
    </row>
    <row r="4" spans="1:5" x14ac:dyDescent="0.35">
      <c r="A4" t="s">
        <v>249</v>
      </c>
      <c r="B4">
        <v>26.404224120021908</v>
      </c>
      <c r="E4">
        <f>B7/B15</f>
        <v>3.7341211854473784</v>
      </c>
    </row>
    <row r="5" spans="1:5" x14ac:dyDescent="0.35">
      <c r="A5" t="s">
        <v>250</v>
      </c>
      <c r="B5">
        <v>15.020399999999999</v>
      </c>
    </row>
    <row r="6" spans="1:5" x14ac:dyDescent="0.35">
      <c r="A6" t="s">
        <v>251</v>
      </c>
      <c r="B6">
        <v>2.2559999999999998</v>
      </c>
    </row>
    <row r="7" spans="1:5" x14ac:dyDescent="0.35">
      <c r="A7" t="s">
        <v>252</v>
      </c>
      <c r="B7">
        <v>186.70605927236892</v>
      </c>
    </row>
    <row r="8" spans="1:5" x14ac:dyDescent="0.35">
      <c r="A8" t="s">
        <v>253</v>
      </c>
      <c r="B8">
        <v>34859.152569017337</v>
      </c>
    </row>
    <row r="9" spans="1:5" x14ac:dyDescent="0.35">
      <c r="A9" t="s">
        <v>254</v>
      </c>
      <c r="B9">
        <v>10.061773999052376</v>
      </c>
    </row>
    <row r="10" spans="1:5" x14ac:dyDescent="0.35">
      <c r="A10" t="s">
        <v>255</v>
      </c>
      <c r="B10">
        <v>2.1181131031208462</v>
      </c>
    </row>
    <row r="11" spans="1:5" x14ac:dyDescent="0.35">
      <c r="A11" t="s">
        <v>256</v>
      </c>
      <c r="B11">
        <v>1209.3626999999999</v>
      </c>
    </row>
    <row r="12" spans="1:5" x14ac:dyDescent="0.35">
      <c r="A12" t="s">
        <v>257</v>
      </c>
      <c r="B12">
        <v>-417.09359999999998</v>
      </c>
    </row>
    <row r="13" spans="1:5" x14ac:dyDescent="0.35">
      <c r="A13" t="s">
        <v>258</v>
      </c>
      <c r="B13">
        <v>792.26909999999998</v>
      </c>
    </row>
    <row r="14" spans="1:5" x14ac:dyDescent="0.35">
      <c r="A14" t="s">
        <v>259</v>
      </c>
      <c r="B14">
        <v>2408.9951000000001</v>
      </c>
    </row>
    <row r="15" spans="1:5" x14ac:dyDescent="0.35">
      <c r="A15" t="s">
        <v>260</v>
      </c>
      <c r="B15">
        <v>50</v>
      </c>
    </row>
    <row r="16" spans="1:5" x14ac:dyDescent="0.35">
      <c r="A16" t="s">
        <v>261</v>
      </c>
      <c r="B16">
        <v>792.26909999999998</v>
      </c>
    </row>
    <row r="17" spans="1:2" x14ac:dyDescent="0.35">
      <c r="A17" t="s">
        <v>262</v>
      </c>
      <c r="B17">
        <v>-417.09359999999998</v>
      </c>
    </row>
    <row r="18" spans="1:2" ht="15" thickBot="1" x14ac:dyDescent="0.4">
      <c r="A18" s="13" t="s">
        <v>263</v>
      </c>
      <c r="B18" s="13">
        <v>53.061274947206591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75CCC-EE42-40E9-BDCD-4568E430236D}">
  <sheetPr filterMode="1"/>
  <dimension ref="A1:T51"/>
  <sheetViews>
    <sheetView workbookViewId="0">
      <selection activeCell="L1" sqref="A1:XFD1048576"/>
    </sheetView>
  </sheetViews>
  <sheetFormatPr defaultRowHeight="14.5" x14ac:dyDescent="0.35"/>
  <cols>
    <col min="1" max="1" width="14.6328125" bestFit="1" customWidth="1"/>
    <col min="2" max="2" width="12.54296875" bestFit="1" customWidth="1"/>
    <col min="3" max="3" width="11.453125" bestFit="1" customWidth="1"/>
    <col min="4" max="4" width="12.81640625" bestFit="1" customWidth="1"/>
    <col min="5" max="5" width="13.6328125" bestFit="1" customWidth="1"/>
    <col min="6" max="6" width="17" bestFit="1" customWidth="1"/>
    <col min="7" max="7" width="11.36328125" bestFit="1" customWidth="1"/>
    <col min="8" max="8" width="11.90625" bestFit="1" customWidth="1"/>
    <col min="9" max="9" width="13.90625" bestFit="1" customWidth="1"/>
    <col min="10" max="10" width="11.1796875" bestFit="1" customWidth="1"/>
    <col min="11" max="11" width="13.453125" bestFit="1" customWidth="1"/>
    <col min="12" max="12" width="8.54296875" bestFit="1" customWidth="1"/>
    <col min="13" max="13" width="16.1796875" bestFit="1" customWidth="1"/>
    <col min="14" max="14" width="13.08984375" bestFit="1" customWidth="1"/>
    <col min="15" max="15" width="14.54296875" bestFit="1" customWidth="1"/>
    <col min="16" max="16" width="66.36328125" bestFit="1" customWidth="1"/>
    <col min="17" max="17" width="9" bestFit="1" customWidth="1"/>
    <col min="18" max="18" width="9.6328125" bestFit="1" customWidth="1"/>
    <col min="19" max="19" width="10.36328125" bestFit="1" customWidth="1"/>
    <col min="20" max="20" width="10.453125" bestFit="1" customWidth="1"/>
  </cols>
  <sheetData>
    <row r="1" spans="1:20"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3" t="s">
        <v>19</v>
      </c>
    </row>
    <row r="2" spans="1:20" x14ac:dyDescent="0.35">
      <c r="A2" s="4" t="s">
        <v>20</v>
      </c>
      <c r="B2" s="5">
        <v>44632</v>
      </c>
      <c r="C2" s="5">
        <v>44637</v>
      </c>
      <c r="D2" s="6" t="s">
        <v>21</v>
      </c>
      <c r="E2" s="6" t="s">
        <v>22</v>
      </c>
      <c r="F2" s="6" t="s">
        <v>23</v>
      </c>
      <c r="G2" s="6" t="s">
        <v>24</v>
      </c>
      <c r="H2" s="6" t="s">
        <v>25</v>
      </c>
      <c r="I2" s="6" t="s">
        <v>26</v>
      </c>
      <c r="J2" s="6" t="s">
        <v>27</v>
      </c>
      <c r="K2" s="6">
        <v>87105</v>
      </c>
      <c r="L2" s="6" t="s">
        <v>28</v>
      </c>
      <c r="M2" s="6" t="s">
        <v>29</v>
      </c>
      <c r="N2" s="6" t="s">
        <v>30</v>
      </c>
      <c r="O2" s="6" t="s">
        <v>31</v>
      </c>
      <c r="P2" s="6" t="s">
        <v>32</v>
      </c>
      <c r="Q2" s="6">
        <v>288.24</v>
      </c>
      <c r="R2" s="6">
        <v>138.3552</v>
      </c>
      <c r="S2" s="6">
        <v>6</v>
      </c>
      <c r="T2" s="7">
        <v>0</v>
      </c>
    </row>
    <row r="3" spans="1:20" x14ac:dyDescent="0.35">
      <c r="A3" s="4" t="s">
        <v>33</v>
      </c>
      <c r="B3" s="5">
        <v>44807</v>
      </c>
      <c r="C3" s="5">
        <v>44808</v>
      </c>
      <c r="D3" s="6" t="s">
        <v>34</v>
      </c>
      <c r="E3" s="6" t="s">
        <v>35</v>
      </c>
      <c r="F3" s="6" t="s">
        <v>36</v>
      </c>
      <c r="G3" s="6" t="s">
        <v>24</v>
      </c>
      <c r="H3" s="6" t="s">
        <v>25</v>
      </c>
      <c r="I3" s="6" t="s">
        <v>37</v>
      </c>
      <c r="J3" s="6" t="s">
        <v>38</v>
      </c>
      <c r="K3" s="6">
        <v>92307</v>
      </c>
      <c r="L3" s="6" t="s">
        <v>28</v>
      </c>
      <c r="M3" s="6" t="s">
        <v>39</v>
      </c>
      <c r="N3" s="6" t="s">
        <v>30</v>
      </c>
      <c r="O3" s="6" t="s">
        <v>31</v>
      </c>
      <c r="P3" s="6" t="s">
        <v>40</v>
      </c>
      <c r="Q3" s="6">
        <v>12.96</v>
      </c>
      <c r="R3" s="6">
        <v>6.2207999999999997</v>
      </c>
      <c r="S3" s="6">
        <v>2</v>
      </c>
      <c r="T3" s="7">
        <v>0</v>
      </c>
    </row>
    <row r="4" spans="1:20" ht="15.5" customHeight="1" x14ac:dyDescent="0.35">
      <c r="A4" s="4" t="s">
        <v>33</v>
      </c>
      <c r="B4" s="5">
        <v>44807</v>
      </c>
      <c r="C4" s="5">
        <v>44808</v>
      </c>
      <c r="D4" s="6" t="s">
        <v>34</v>
      </c>
      <c r="E4" s="6" t="s">
        <v>35</v>
      </c>
      <c r="F4" s="6" t="s">
        <v>36</v>
      </c>
      <c r="G4" s="6" t="s">
        <v>24</v>
      </c>
      <c r="H4" s="6" t="s">
        <v>25</v>
      </c>
      <c r="I4" s="6" t="s">
        <v>37</v>
      </c>
      <c r="J4" s="6" t="s">
        <v>38</v>
      </c>
      <c r="K4" s="6">
        <v>92307</v>
      </c>
      <c r="L4" s="6" t="s">
        <v>28</v>
      </c>
      <c r="M4" s="6" t="s">
        <v>41</v>
      </c>
      <c r="N4" s="6" t="s">
        <v>42</v>
      </c>
      <c r="O4" s="6" t="s">
        <v>43</v>
      </c>
      <c r="P4" s="6" t="s">
        <v>44</v>
      </c>
      <c r="Q4" s="6">
        <v>43.176000000000002</v>
      </c>
      <c r="R4" s="6">
        <v>15.111599999999999</v>
      </c>
      <c r="S4" s="6">
        <v>3</v>
      </c>
      <c r="T4" s="7">
        <v>0.2</v>
      </c>
    </row>
    <row r="5" spans="1:20" x14ac:dyDescent="0.35">
      <c r="A5" s="4" t="s">
        <v>45</v>
      </c>
      <c r="B5" s="5">
        <v>44065</v>
      </c>
      <c r="C5" s="5">
        <v>44065</v>
      </c>
      <c r="D5" s="6" t="s">
        <v>46</v>
      </c>
      <c r="E5" s="6" t="s">
        <v>47</v>
      </c>
      <c r="F5" s="6" t="s">
        <v>48</v>
      </c>
      <c r="G5" s="6" t="s">
        <v>49</v>
      </c>
      <c r="H5" s="6" t="s">
        <v>25</v>
      </c>
      <c r="I5" s="6" t="s">
        <v>50</v>
      </c>
      <c r="J5" s="6" t="s">
        <v>51</v>
      </c>
      <c r="K5" s="6">
        <v>60440</v>
      </c>
      <c r="L5" s="6" t="s">
        <v>52</v>
      </c>
      <c r="M5" s="6" t="s">
        <v>53</v>
      </c>
      <c r="N5" s="6" t="s">
        <v>30</v>
      </c>
      <c r="O5" s="6" t="s">
        <v>54</v>
      </c>
      <c r="P5" s="6" t="s">
        <v>55</v>
      </c>
      <c r="Q5" s="6">
        <v>31.68</v>
      </c>
      <c r="R5" s="6">
        <v>2.7719999999999998</v>
      </c>
      <c r="S5" s="6">
        <v>4</v>
      </c>
      <c r="T5" s="7">
        <v>0.2</v>
      </c>
    </row>
    <row r="6" spans="1:20" x14ac:dyDescent="0.35">
      <c r="A6" s="4" t="s">
        <v>45</v>
      </c>
      <c r="B6" s="5">
        <v>44065</v>
      </c>
      <c r="C6" s="5">
        <v>44065</v>
      </c>
      <c r="D6" s="6" t="s">
        <v>46</v>
      </c>
      <c r="E6" s="6" t="s">
        <v>47</v>
      </c>
      <c r="F6" s="6" t="s">
        <v>48</v>
      </c>
      <c r="G6" s="6" t="s">
        <v>49</v>
      </c>
      <c r="H6" s="6" t="s">
        <v>25</v>
      </c>
      <c r="I6" s="6" t="s">
        <v>50</v>
      </c>
      <c r="J6" s="6" t="s">
        <v>51</v>
      </c>
      <c r="K6" s="6">
        <v>60440</v>
      </c>
      <c r="L6" s="6" t="s">
        <v>52</v>
      </c>
      <c r="M6" s="6" t="s">
        <v>56</v>
      </c>
      <c r="N6" s="6" t="s">
        <v>30</v>
      </c>
      <c r="O6" s="6" t="s">
        <v>31</v>
      </c>
      <c r="P6" s="6" t="s">
        <v>57</v>
      </c>
      <c r="Q6" s="6">
        <v>10.368</v>
      </c>
      <c r="R6" s="6">
        <v>3.6288</v>
      </c>
      <c r="S6" s="6">
        <v>2</v>
      </c>
      <c r="T6" s="7">
        <v>0.2</v>
      </c>
    </row>
    <row r="7" spans="1:20" x14ac:dyDescent="0.35">
      <c r="A7" s="4" t="s">
        <v>45</v>
      </c>
      <c r="B7" s="5">
        <v>44065</v>
      </c>
      <c r="C7" s="5">
        <v>44065</v>
      </c>
      <c r="D7" s="6" t="s">
        <v>46</v>
      </c>
      <c r="E7" s="6" t="s">
        <v>47</v>
      </c>
      <c r="F7" s="6" t="s">
        <v>48</v>
      </c>
      <c r="G7" s="6" t="s">
        <v>49</v>
      </c>
      <c r="H7" s="6" t="s">
        <v>25</v>
      </c>
      <c r="I7" s="6" t="s">
        <v>50</v>
      </c>
      <c r="J7" s="6" t="s">
        <v>51</v>
      </c>
      <c r="K7" s="6">
        <v>60440</v>
      </c>
      <c r="L7" s="6" t="s">
        <v>52</v>
      </c>
      <c r="M7" s="6" t="s">
        <v>58</v>
      </c>
      <c r="N7" s="6" t="s">
        <v>30</v>
      </c>
      <c r="O7" s="6" t="s">
        <v>59</v>
      </c>
      <c r="P7" s="6" t="s">
        <v>60</v>
      </c>
      <c r="Q7" s="6">
        <v>12.032</v>
      </c>
      <c r="R7" s="6">
        <v>2.2559999999999998</v>
      </c>
      <c r="S7" s="6">
        <v>8</v>
      </c>
      <c r="T7" s="7">
        <v>0.2</v>
      </c>
    </row>
    <row r="8" spans="1:20" x14ac:dyDescent="0.35">
      <c r="A8" s="4" t="s">
        <v>45</v>
      </c>
      <c r="B8" s="5">
        <v>44065</v>
      </c>
      <c r="C8" s="5">
        <v>44065</v>
      </c>
      <c r="D8" s="6" t="s">
        <v>46</v>
      </c>
      <c r="E8" s="6" t="s">
        <v>47</v>
      </c>
      <c r="F8" s="6" t="s">
        <v>48</v>
      </c>
      <c r="G8" s="6" t="s">
        <v>49</v>
      </c>
      <c r="H8" s="6" t="s">
        <v>25</v>
      </c>
      <c r="I8" s="6" t="s">
        <v>50</v>
      </c>
      <c r="J8" s="6" t="s">
        <v>51</v>
      </c>
      <c r="K8" s="6">
        <v>60440</v>
      </c>
      <c r="L8" s="6" t="s">
        <v>52</v>
      </c>
      <c r="M8" s="6" t="s">
        <v>61</v>
      </c>
      <c r="N8" s="6" t="s">
        <v>30</v>
      </c>
      <c r="O8" s="6" t="s">
        <v>62</v>
      </c>
      <c r="P8" s="6" t="s">
        <v>63</v>
      </c>
      <c r="Q8" s="6">
        <v>5.7679999999999998</v>
      </c>
      <c r="R8" s="6">
        <v>-13.5548</v>
      </c>
      <c r="S8" s="6">
        <v>2</v>
      </c>
      <c r="T8" s="7">
        <v>0.8</v>
      </c>
    </row>
    <row r="9" spans="1:20" x14ac:dyDescent="0.35">
      <c r="A9" s="4" t="s">
        <v>45</v>
      </c>
      <c r="B9" s="5">
        <v>44065</v>
      </c>
      <c r="C9" s="5">
        <v>44065</v>
      </c>
      <c r="D9" s="6" t="s">
        <v>46</v>
      </c>
      <c r="E9" s="6" t="s">
        <v>47</v>
      </c>
      <c r="F9" s="6" t="s">
        <v>48</v>
      </c>
      <c r="G9" s="6" t="s">
        <v>49</v>
      </c>
      <c r="H9" s="6" t="s">
        <v>25</v>
      </c>
      <c r="I9" s="6" t="s">
        <v>50</v>
      </c>
      <c r="J9" s="6" t="s">
        <v>51</v>
      </c>
      <c r="K9" s="6">
        <v>60440</v>
      </c>
      <c r="L9" s="6" t="s">
        <v>52</v>
      </c>
      <c r="M9" s="6" t="s">
        <v>58</v>
      </c>
      <c r="N9" s="6" t="s">
        <v>30</v>
      </c>
      <c r="O9" s="6" t="s">
        <v>59</v>
      </c>
      <c r="P9" s="6" t="s">
        <v>60</v>
      </c>
      <c r="Q9" s="6">
        <v>12.032</v>
      </c>
      <c r="R9" s="6">
        <v>2.2559999999999998</v>
      </c>
      <c r="S9" s="6">
        <v>8</v>
      </c>
      <c r="T9" s="7">
        <v>0.2</v>
      </c>
    </row>
    <row r="10" spans="1:20" x14ac:dyDescent="0.35">
      <c r="A10" s="4" t="s">
        <v>64</v>
      </c>
      <c r="B10" s="5">
        <v>44325</v>
      </c>
      <c r="C10" s="5">
        <v>44330</v>
      </c>
      <c r="D10" s="6" t="s">
        <v>65</v>
      </c>
      <c r="E10" s="6" t="s">
        <v>66</v>
      </c>
      <c r="F10" s="6" t="s">
        <v>67</v>
      </c>
      <c r="G10" s="6" t="s">
        <v>49</v>
      </c>
      <c r="H10" s="6" t="s">
        <v>25</v>
      </c>
      <c r="I10" s="6" t="s">
        <v>68</v>
      </c>
      <c r="J10" s="6" t="s">
        <v>51</v>
      </c>
      <c r="K10" s="6">
        <v>60610</v>
      </c>
      <c r="L10" s="6" t="s">
        <v>52</v>
      </c>
      <c r="M10" s="6" t="s">
        <v>69</v>
      </c>
      <c r="N10" s="6" t="s">
        <v>30</v>
      </c>
      <c r="O10" s="6" t="s">
        <v>70</v>
      </c>
      <c r="P10" s="6" t="s">
        <v>71</v>
      </c>
      <c r="Q10" s="6">
        <v>7.0720000000000001</v>
      </c>
      <c r="R10" s="6">
        <v>2.3868</v>
      </c>
      <c r="S10" s="6">
        <v>2</v>
      </c>
      <c r="T10" s="7">
        <v>0.2</v>
      </c>
    </row>
    <row r="11" spans="1:20" x14ac:dyDescent="0.35">
      <c r="A11" s="4" t="s">
        <v>72</v>
      </c>
      <c r="B11" s="5">
        <v>44617</v>
      </c>
      <c r="C11" s="5">
        <v>44622</v>
      </c>
      <c r="D11" s="6" t="s">
        <v>65</v>
      </c>
      <c r="E11" s="6" t="s">
        <v>73</v>
      </c>
      <c r="F11" s="6" t="s">
        <v>74</v>
      </c>
      <c r="G11" s="6" t="s">
        <v>49</v>
      </c>
      <c r="H11" s="6" t="s">
        <v>25</v>
      </c>
      <c r="I11" s="6" t="s">
        <v>75</v>
      </c>
      <c r="J11" s="6" t="s">
        <v>38</v>
      </c>
      <c r="K11" s="6">
        <v>92627</v>
      </c>
      <c r="L11" s="6" t="s">
        <v>28</v>
      </c>
      <c r="M11" s="6" t="s">
        <v>76</v>
      </c>
      <c r="N11" s="6" t="s">
        <v>77</v>
      </c>
      <c r="O11" s="6" t="s">
        <v>78</v>
      </c>
      <c r="P11" s="6" t="s">
        <v>79</v>
      </c>
      <c r="Q11" s="6">
        <v>91.96</v>
      </c>
      <c r="R11" s="6">
        <v>15.6332</v>
      </c>
      <c r="S11" s="6">
        <v>2</v>
      </c>
      <c r="T11" s="7">
        <v>0</v>
      </c>
    </row>
    <row r="12" spans="1:20" x14ac:dyDescent="0.35">
      <c r="A12" s="4" t="s">
        <v>72</v>
      </c>
      <c r="B12" s="5">
        <v>44617</v>
      </c>
      <c r="C12" s="5">
        <v>44622</v>
      </c>
      <c r="D12" s="6" t="s">
        <v>65</v>
      </c>
      <c r="E12" s="6" t="s">
        <v>73</v>
      </c>
      <c r="F12" s="6" t="s">
        <v>74</v>
      </c>
      <c r="G12" s="6" t="s">
        <v>49</v>
      </c>
      <c r="H12" s="6" t="s">
        <v>25</v>
      </c>
      <c r="I12" s="6" t="s">
        <v>75</v>
      </c>
      <c r="J12" s="6" t="s">
        <v>38</v>
      </c>
      <c r="K12" s="6">
        <v>92627</v>
      </c>
      <c r="L12" s="6" t="s">
        <v>28</v>
      </c>
      <c r="M12" s="6" t="s">
        <v>80</v>
      </c>
      <c r="N12" s="6" t="s">
        <v>42</v>
      </c>
      <c r="O12" s="6" t="s">
        <v>43</v>
      </c>
      <c r="P12" s="6" t="s">
        <v>81</v>
      </c>
      <c r="Q12" s="6">
        <v>258.57600000000002</v>
      </c>
      <c r="R12" s="6">
        <v>19.3932</v>
      </c>
      <c r="S12" s="6">
        <v>2</v>
      </c>
      <c r="T12" s="7">
        <v>0.2</v>
      </c>
    </row>
    <row r="13" spans="1:20" x14ac:dyDescent="0.35">
      <c r="A13" s="4" t="s">
        <v>72</v>
      </c>
      <c r="B13" s="5">
        <v>44617</v>
      </c>
      <c r="C13" s="5">
        <v>44622</v>
      </c>
      <c r="D13" s="6" t="s">
        <v>65</v>
      </c>
      <c r="E13" s="6" t="s">
        <v>73</v>
      </c>
      <c r="F13" s="6" t="s">
        <v>74</v>
      </c>
      <c r="G13" s="6" t="s">
        <v>49</v>
      </c>
      <c r="H13" s="6" t="s">
        <v>25</v>
      </c>
      <c r="I13" s="6" t="s">
        <v>75</v>
      </c>
      <c r="J13" s="6" t="s">
        <v>38</v>
      </c>
      <c r="K13" s="6">
        <v>92627</v>
      </c>
      <c r="L13" s="6" t="s">
        <v>28</v>
      </c>
      <c r="M13" s="6" t="s">
        <v>82</v>
      </c>
      <c r="N13" s="6" t="s">
        <v>30</v>
      </c>
      <c r="O13" s="6" t="s">
        <v>31</v>
      </c>
      <c r="P13" s="6" t="s">
        <v>83</v>
      </c>
      <c r="Q13" s="6">
        <v>29.6</v>
      </c>
      <c r="R13" s="6">
        <v>13.32</v>
      </c>
      <c r="S13" s="6">
        <v>4</v>
      </c>
      <c r="T13" s="7">
        <v>0</v>
      </c>
    </row>
    <row r="14" spans="1:20" x14ac:dyDescent="0.35">
      <c r="A14" s="4" t="s">
        <v>84</v>
      </c>
      <c r="B14" s="5">
        <v>43665</v>
      </c>
      <c r="C14" s="5">
        <v>43669</v>
      </c>
      <c r="D14" s="6" t="s">
        <v>65</v>
      </c>
      <c r="E14" s="6" t="s">
        <v>85</v>
      </c>
      <c r="F14" s="6" t="s">
        <v>86</v>
      </c>
      <c r="G14" s="6" t="s">
        <v>24</v>
      </c>
      <c r="H14" s="6" t="s">
        <v>25</v>
      </c>
      <c r="I14" s="6" t="s">
        <v>87</v>
      </c>
      <c r="J14" s="6" t="s">
        <v>88</v>
      </c>
      <c r="K14" s="6">
        <v>75217</v>
      </c>
      <c r="L14" s="6" t="s">
        <v>52</v>
      </c>
      <c r="M14" s="6" t="s">
        <v>89</v>
      </c>
      <c r="N14" s="6" t="s">
        <v>30</v>
      </c>
      <c r="O14" s="6" t="s">
        <v>90</v>
      </c>
      <c r="P14" s="6" t="s">
        <v>91</v>
      </c>
      <c r="Q14" s="6">
        <v>342.86399999999998</v>
      </c>
      <c r="R14" s="6">
        <v>38.572200000000002</v>
      </c>
      <c r="S14" s="6">
        <v>3</v>
      </c>
      <c r="T14" s="7">
        <v>0.2</v>
      </c>
    </row>
    <row r="15" spans="1:20" x14ac:dyDescent="0.35">
      <c r="A15" s="4" t="s">
        <v>84</v>
      </c>
      <c r="B15" s="5">
        <v>43665</v>
      </c>
      <c r="C15" s="5">
        <v>43669</v>
      </c>
      <c r="D15" s="6" t="s">
        <v>65</v>
      </c>
      <c r="E15" s="6" t="s">
        <v>85</v>
      </c>
      <c r="F15" s="6" t="s">
        <v>86</v>
      </c>
      <c r="G15" s="6" t="s">
        <v>24</v>
      </c>
      <c r="H15" s="6" t="s">
        <v>25</v>
      </c>
      <c r="I15" s="6" t="s">
        <v>87</v>
      </c>
      <c r="J15" s="6" t="s">
        <v>88</v>
      </c>
      <c r="K15" s="6">
        <v>75217</v>
      </c>
      <c r="L15" s="6" t="s">
        <v>52</v>
      </c>
      <c r="M15" s="6" t="s">
        <v>92</v>
      </c>
      <c r="N15" s="6" t="s">
        <v>77</v>
      </c>
      <c r="O15" s="6" t="s">
        <v>78</v>
      </c>
      <c r="P15" s="6" t="s">
        <v>93</v>
      </c>
      <c r="Q15" s="6">
        <v>16.739999999999998</v>
      </c>
      <c r="R15" s="6">
        <v>-14.228999999999999</v>
      </c>
      <c r="S15" s="6">
        <v>5</v>
      </c>
      <c r="T15" s="7">
        <v>0.6</v>
      </c>
    </row>
    <row r="16" spans="1:20" x14ac:dyDescent="0.35">
      <c r="A16" s="4" t="s">
        <v>84</v>
      </c>
      <c r="B16" s="5">
        <v>43665</v>
      </c>
      <c r="C16" s="5">
        <v>43669</v>
      </c>
      <c r="D16" s="6" t="s">
        <v>65</v>
      </c>
      <c r="E16" s="6" t="s">
        <v>85</v>
      </c>
      <c r="F16" s="6" t="s">
        <v>86</v>
      </c>
      <c r="G16" s="6" t="s">
        <v>24</v>
      </c>
      <c r="H16" s="6" t="s">
        <v>25</v>
      </c>
      <c r="I16" s="6" t="s">
        <v>87</v>
      </c>
      <c r="J16" s="6" t="s">
        <v>88</v>
      </c>
      <c r="K16" s="6">
        <v>75217</v>
      </c>
      <c r="L16" s="6" t="s">
        <v>52</v>
      </c>
      <c r="M16" s="6" t="s">
        <v>94</v>
      </c>
      <c r="N16" s="6" t="s">
        <v>77</v>
      </c>
      <c r="O16" s="6" t="s">
        <v>95</v>
      </c>
      <c r="P16" s="6" t="s">
        <v>96</v>
      </c>
      <c r="Q16" s="6">
        <v>981.37199999999996</v>
      </c>
      <c r="R16" s="6">
        <v>-140.196</v>
      </c>
      <c r="S16" s="6">
        <v>2</v>
      </c>
      <c r="T16" s="7">
        <v>0.3</v>
      </c>
    </row>
    <row r="17" spans="1:20" x14ac:dyDescent="0.35">
      <c r="A17" s="4" t="s">
        <v>97</v>
      </c>
      <c r="B17" s="5">
        <v>44919</v>
      </c>
      <c r="C17" s="5">
        <v>44923</v>
      </c>
      <c r="D17" s="6" t="s">
        <v>65</v>
      </c>
      <c r="E17" s="6" t="s">
        <v>98</v>
      </c>
      <c r="F17" s="6" t="s">
        <v>99</v>
      </c>
      <c r="G17" s="6" t="s">
        <v>49</v>
      </c>
      <c r="H17" s="6" t="s">
        <v>25</v>
      </c>
      <c r="I17" s="6" t="s">
        <v>100</v>
      </c>
      <c r="J17" s="6" t="s">
        <v>101</v>
      </c>
      <c r="K17" s="6">
        <v>7017</v>
      </c>
      <c r="L17" s="6" t="s">
        <v>102</v>
      </c>
      <c r="M17" s="6" t="s">
        <v>103</v>
      </c>
      <c r="N17" s="6" t="s">
        <v>42</v>
      </c>
      <c r="O17" s="6" t="s">
        <v>104</v>
      </c>
      <c r="P17" s="6" t="s">
        <v>105</v>
      </c>
      <c r="Q17" s="6">
        <v>31.8</v>
      </c>
      <c r="R17" s="6">
        <v>13.673999999999999</v>
      </c>
      <c r="S17" s="6">
        <v>3</v>
      </c>
      <c r="T17" s="7">
        <v>0</v>
      </c>
    </row>
    <row r="18" spans="1:20" x14ac:dyDescent="0.35">
      <c r="A18" s="4" t="s">
        <v>106</v>
      </c>
      <c r="B18" s="5">
        <v>44911</v>
      </c>
      <c r="C18" s="5">
        <v>44915</v>
      </c>
      <c r="D18" s="6" t="s">
        <v>65</v>
      </c>
      <c r="E18" s="6" t="s">
        <v>107</v>
      </c>
      <c r="F18" s="6" t="s">
        <v>108</v>
      </c>
      <c r="G18" s="6" t="s">
        <v>109</v>
      </c>
      <c r="H18" s="6" t="s">
        <v>25</v>
      </c>
      <c r="I18" s="6" t="s">
        <v>110</v>
      </c>
      <c r="J18" s="6" t="s">
        <v>111</v>
      </c>
      <c r="K18" s="6">
        <v>54703</v>
      </c>
      <c r="L18" s="6" t="s">
        <v>52</v>
      </c>
      <c r="M18" s="6" t="s">
        <v>112</v>
      </c>
      <c r="N18" s="6" t="s">
        <v>30</v>
      </c>
      <c r="O18" s="6" t="s">
        <v>90</v>
      </c>
      <c r="P18" s="6" t="s">
        <v>113</v>
      </c>
      <c r="Q18" s="6">
        <v>32.56</v>
      </c>
      <c r="R18" s="6">
        <v>8.4656000000000002</v>
      </c>
      <c r="S18" s="6">
        <v>2</v>
      </c>
      <c r="T18" s="7">
        <v>0</v>
      </c>
    </row>
    <row r="19" spans="1:20" hidden="1" x14ac:dyDescent="0.35">
      <c r="A19" s="4" t="s">
        <v>114</v>
      </c>
      <c r="B19" s="5">
        <v>44114</v>
      </c>
      <c r="C19" s="5">
        <v>44121</v>
      </c>
      <c r="D19" s="6" t="s">
        <v>65</v>
      </c>
      <c r="E19" s="6" t="s">
        <v>115</v>
      </c>
      <c r="F19" s="6"/>
      <c r="G19" s="6" t="s">
        <v>49</v>
      </c>
      <c r="H19" s="6" t="s">
        <v>25</v>
      </c>
      <c r="I19" s="6" t="s">
        <v>116</v>
      </c>
      <c r="J19" s="6" t="s">
        <v>117</v>
      </c>
      <c r="K19" s="6">
        <v>33311</v>
      </c>
      <c r="L19" s="6" t="s">
        <v>118</v>
      </c>
      <c r="M19" s="6" t="s">
        <v>119</v>
      </c>
      <c r="N19" s="6" t="s">
        <v>77</v>
      </c>
      <c r="O19" s="6" t="s">
        <v>120</v>
      </c>
      <c r="P19" s="6" t="s">
        <v>121</v>
      </c>
      <c r="Q19" s="6">
        <v>957.57749999999999</v>
      </c>
      <c r="R19" s="6">
        <v>-383.03100000000001</v>
      </c>
      <c r="S19" s="6">
        <v>5</v>
      </c>
      <c r="T19" s="7">
        <v>0.45</v>
      </c>
    </row>
    <row r="20" spans="1:20" x14ac:dyDescent="0.35">
      <c r="A20" s="4" t="s">
        <v>114</v>
      </c>
      <c r="B20" s="5">
        <v>44114</v>
      </c>
      <c r="C20" s="5">
        <v>44121</v>
      </c>
      <c r="D20" s="6" t="s">
        <v>65</v>
      </c>
      <c r="E20" s="6" t="s">
        <v>115</v>
      </c>
      <c r="F20" s="6" t="s">
        <v>122</v>
      </c>
      <c r="G20" s="6" t="s">
        <v>49</v>
      </c>
      <c r="H20" s="6" t="s">
        <v>25</v>
      </c>
      <c r="I20" s="6" t="s">
        <v>116</v>
      </c>
      <c r="J20" s="6" t="s">
        <v>117</v>
      </c>
      <c r="K20" s="6">
        <v>33311</v>
      </c>
      <c r="L20" s="6" t="s">
        <v>118</v>
      </c>
      <c r="M20" s="6" t="s">
        <v>123</v>
      </c>
      <c r="N20" s="6" t="s">
        <v>30</v>
      </c>
      <c r="O20" s="6" t="s">
        <v>90</v>
      </c>
      <c r="P20" s="6" t="s">
        <v>124</v>
      </c>
      <c r="Q20" s="6">
        <v>22.367999999999999</v>
      </c>
      <c r="R20" s="6">
        <v>2.5164</v>
      </c>
      <c r="S20" s="6">
        <v>2</v>
      </c>
      <c r="T20" s="7">
        <v>0.2</v>
      </c>
    </row>
    <row r="21" spans="1:20" x14ac:dyDescent="0.35">
      <c r="A21" s="4" t="s">
        <v>125</v>
      </c>
      <c r="B21" s="5">
        <v>44677</v>
      </c>
      <c r="C21" s="5">
        <v>44681</v>
      </c>
      <c r="D21" s="6" t="s">
        <v>65</v>
      </c>
      <c r="E21" s="6" t="s">
        <v>126</v>
      </c>
      <c r="F21" s="6" t="s">
        <v>127</v>
      </c>
      <c r="G21" s="6" t="s">
        <v>109</v>
      </c>
      <c r="H21" s="6" t="s">
        <v>25</v>
      </c>
      <c r="I21" s="6" t="s">
        <v>128</v>
      </c>
      <c r="J21" s="6" t="s">
        <v>88</v>
      </c>
      <c r="K21" s="6">
        <v>76106</v>
      </c>
      <c r="L21" s="6" t="s">
        <v>52</v>
      </c>
      <c r="M21" s="6" t="s">
        <v>129</v>
      </c>
      <c r="N21" s="6" t="s">
        <v>30</v>
      </c>
      <c r="O21" s="6" t="s">
        <v>130</v>
      </c>
      <c r="P21" s="6" t="s">
        <v>131</v>
      </c>
      <c r="Q21" s="6">
        <v>33.119999999999997</v>
      </c>
      <c r="R21" s="6">
        <v>11.592000000000001</v>
      </c>
      <c r="S21" s="6">
        <v>4</v>
      </c>
      <c r="T21" s="7">
        <v>0.2</v>
      </c>
    </row>
    <row r="22" spans="1:20" x14ac:dyDescent="0.35">
      <c r="A22" s="4" t="s">
        <v>132</v>
      </c>
      <c r="B22" s="5">
        <v>44507</v>
      </c>
      <c r="C22" s="5">
        <v>44510</v>
      </c>
      <c r="D22" s="6" t="s">
        <v>21</v>
      </c>
      <c r="E22" s="6" t="s">
        <v>133</v>
      </c>
      <c r="F22" s="6" t="s">
        <v>134</v>
      </c>
      <c r="G22" s="6" t="s">
        <v>49</v>
      </c>
      <c r="H22" s="6" t="s">
        <v>25</v>
      </c>
      <c r="I22" s="6" t="s">
        <v>135</v>
      </c>
      <c r="J22" s="6" t="s">
        <v>136</v>
      </c>
      <c r="K22" s="6">
        <v>42420</v>
      </c>
      <c r="L22" s="6" t="s">
        <v>118</v>
      </c>
      <c r="M22" s="6" t="s">
        <v>137</v>
      </c>
      <c r="N22" s="6" t="s">
        <v>77</v>
      </c>
      <c r="O22" s="6" t="s">
        <v>138</v>
      </c>
      <c r="P22" s="6" t="s">
        <v>139</v>
      </c>
      <c r="Q22" s="6">
        <v>261.95999999999998</v>
      </c>
      <c r="R22" s="6">
        <v>41.913600000000002</v>
      </c>
      <c r="S22" s="6">
        <v>2</v>
      </c>
      <c r="T22" s="7">
        <v>0</v>
      </c>
    </row>
    <row r="23" spans="1:20" x14ac:dyDescent="0.35">
      <c r="A23" s="4" t="s">
        <v>132</v>
      </c>
      <c r="B23" s="5">
        <v>44507</v>
      </c>
      <c r="C23" s="5">
        <v>44510</v>
      </c>
      <c r="D23" s="6" t="s">
        <v>21</v>
      </c>
      <c r="E23" s="6" t="s">
        <v>133</v>
      </c>
      <c r="F23" s="6" t="s">
        <v>134</v>
      </c>
      <c r="G23" s="6" t="s">
        <v>49</v>
      </c>
      <c r="H23" s="6" t="s">
        <v>25</v>
      </c>
      <c r="I23" s="6" t="s">
        <v>135</v>
      </c>
      <c r="J23" s="6" t="s">
        <v>136</v>
      </c>
      <c r="K23" s="6">
        <v>42420</v>
      </c>
      <c r="L23" s="6" t="s">
        <v>118</v>
      </c>
      <c r="M23" s="6" t="s">
        <v>140</v>
      </c>
      <c r="N23" s="6" t="s">
        <v>77</v>
      </c>
      <c r="O23" s="6" t="s">
        <v>95</v>
      </c>
      <c r="P23" s="6" t="s">
        <v>141</v>
      </c>
      <c r="Q23" s="6">
        <v>731.94</v>
      </c>
      <c r="R23" s="6">
        <v>219.58199999999999</v>
      </c>
      <c r="S23" s="6">
        <v>3</v>
      </c>
      <c r="T23" s="7">
        <v>0</v>
      </c>
    </row>
    <row r="24" spans="1:20" x14ac:dyDescent="0.35">
      <c r="A24" s="4" t="s">
        <v>142</v>
      </c>
      <c r="B24" s="5">
        <v>44650</v>
      </c>
      <c r="C24" s="5">
        <v>44652</v>
      </c>
      <c r="D24" s="6" t="s">
        <v>21</v>
      </c>
      <c r="E24" s="6" t="s">
        <v>143</v>
      </c>
      <c r="F24" s="6" t="s">
        <v>144</v>
      </c>
      <c r="G24" s="6" t="s">
        <v>24</v>
      </c>
      <c r="H24" s="6" t="s">
        <v>25</v>
      </c>
      <c r="I24" s="6" t="s">
        <v>135</v>
      </c>
      <c r="J24" s="6" t="s">
        <v>136</v>
      </c>
      <c r="K24" s="6">
        <v>42420</v>
      </c>
      <c r="L24" s="6" t="s">
        <v>118</v>
      </c>
      <c r="M24" s="6" t="s">
        <v>145</v>
      </c>
      <c r="N24" s="6" t="s">
        <v>77</v>
      </c>
      <c r="O24" s="6" t="s">
        <v>78</v>
      </c>
      <c r="P24" s="6" t="s">
        <v>146</v>
      </c>
      <c r="Q24" s="6">
        <v>61</v>
      </c>
      <c r="R24" s="6">
        <v>25.62</v>
      </c>
      <c r="S24" s="6">
        <v>5</v>
      </c>
      <c r="T24" s="7">
        <v>0</v>
      </c>
    </row>
    <row r="25" spans="1:20" x14ac:dyDescent="0.35">
      <c r="A25" s="4" t="s">
        <v>142</v>
      </c>
      <c r="B25" s="5">
        <v>44650</v>
      </c>
      <c r="C25" s="5">
        <v>44652</v>
      </c>
      <c r="D25" s="6" t="s">
        <v>21</v>
      </c>
      <c r="E25" s="6" t="s">
        <v>143</v>
      </c>
      <c r="F25" s="6" t="s">
        <v>144</v>
      </c>
      <c r="G25" s="6" t="s">
        <v>24</v>
      </c>
      <c r="H25" s="6" t="s">
        <v>25</v>
      </c>
      <c r="I25" s="6" t="s">
        <v>135</v>
      </c>
      <c r="J25" s="6" t="s">
        <v>136</v>
      </c>
      <c r="K25" s="6">
        <v>42420</v>
      </c>
      <c r="L25" s="6" t="s">
        <v>118</v>
      </c>
      <c r="M25" s="6" t="s">
        <v>147</v>
      </c>
      <c r="N25" s="6" t="s">
        <v>42</v>
      </c>
      <c r="O25" s="6" t="s">
        <v>43</v>
      </c>
      <c r="P25" s="6" t="s">
        <v>148</v>
      </c>
      <c r="Q25" s="6">
        <v>671.93</v>
      </c>
      <c r="R25" s="6">
        <v>188.1404</v>
      </c>
      <c r="S25" s="6">
        <v>7</v>
      </c>
      <c r="T25" s="7">
        <v>0</v>
      </c>
    </row>
    <row r="26" spans="1:20" x14ac:dyDescent="0.35">
      <c r="A26" s="4" t="s">
        <v>149</v>
      </c>
      <c r="B26" s="5">
        <v>44600</v>
      </c>
      <c r="C26" s="5">
        <v>44605</v>
      </c>
      <c r="D26" s="6" t="s">
        <v>65</v>
      </c>
      <c r="E26" s="6" t="s">
        <v>150</v>
      </c>
      <c r="F26" s="6" t="s">
        <v>151</v>
      </c>
      <c r="G26" s="6" t="s">
        <v>49</v>
      </c>
      <c r="H26" s="6" t="s">
        <v>25</v>
      </c>
      <c r="I26" s="6" t="s">
        <v>152</v>
      </c>
      <c r="J26" s="6" t="s">
        <v>88</v>
      </c>
      <c r="K26" s="6">
        <v>77070</v>
      </c>
      <c r="L26" s="6" t="s">
        <v>52</v>
      </c>
      <c r="M26" s="6" t="s">
        <v>153</v>
      </c>
      <c r="N26" s="6" t="s">
        <v>30</v>
      </c>
      <c r="O26" s="6" t="s">
        <v>154</v>
      </c>
      <c r="P26" s="6" t="s">
        <v>155</v>
      </c>
      <c r="Q26" s="6">
        <v>252.78399999999999</v>
      </c>
      <c r="R26" s="6">
        <v>-417.09359999999998</v>
      </c>
      <c r="S26" s="6">
        <v>4</v>
      </c>
      <c r="T26" s="7">
        <v>0.8</v>
      </c>
    </row>
    <row r="27" spans="1:20" x14ac:dyDescent="0.35">
      <c r="A27" s="4" t="s">
        <v>149</v>
      </c>
      <c r="B27" s="5">
        <v>44600</v>
      </c>
      <c r="C27" s="5">
        <v>44605</v>
      </c>
      <c r="D27" s="6" t="s">
        <v>65</v>
      </c>
      <c r="E27" s="6" t="s">
        <v>150</v>
      </c>
      <c r="F27" s="6" t="s">
        <v>151</v>
      </c>
      <c r="G27" s="6" t="s">
        <v>49</v>
      </c>
      <c r="H27" s="6" t="s">
        <v>25</v>
      </c>
      <c r="I27" s="6" t="s">
        <v>152</v>
      </c>
      <c r="J27" s="6" t="s">
        <v>88</v>
      </c>
      <c r="K27" s="6">
        <v>77070</v>
      </c>
      <c r="L27" s="6" t="s">
        <v>52</v>
      </c>
      <c r="M27" s="6" t="s">
        <v>156</v>
      </c>
      <c r="N27" s="6" t="s">
        <v>42</v>
      </c>
      <c r="O27" s="6" t="s">
        <v>104</v>
      </c>
      <c r="P27" s="6" t="s">
        <v>157</v>
      </c>
      <c r="Q27" s="6">
        <v>127.98399999999999</v>
      </c>
      <c r="R27" s="6">
        <v>15.997999999999999</v>
      </c>
      <c r="S27" s="6">
        <v>2</v>
      </c>
      <c r="T27" s="7">
        <v>0.2</v>
      </c>
    </row>
    <row r="28" spans="1:20" x14ac:dyDescent="0.35">
      <c r="A28" s="4" t="s">
        <v>149</v>
      </c>
      <c r="B28" s="5">
        <v>44600</v>
      </c>
      <c r="C28" s="5">
        <v>44605</v>
      </c>
      <c r="D28" s="6" t="s">
        <v>65</v>
      </c>
      <c r="E28" s="6" t="s">
        <v>150</v>
      </c>
      <c r="F28" s="6" t="s">
        <v>151</v>
      </c>
      <c r="G28" s="6" t="s">
        <v>49</v>
      </c>
      <c r="H28" s="6" t="s">
        <v>25</v>
      </c>
      <c r="I28" s="6" t="s">
        <v>152</v>
      </c>
      <c r="J28" s="6" t="s">
        <v>88</v>
      </c>
      <c r="K28" s="6">
        <v>77070</v>
      </c>
      <c r="L28" s="6" t="s">
        <v>52</v>
      </c>
      <c r="M28" s="6" t="s">
        <v>158</v>
      </c>
      <c r="N28" s="6" t="s">
        <v>77</v>
      </c>
      <c r="O28" s="6" t="s">
        <v>78</v>
      </c>
      <c r="P28" s="6" t="s">
        <v>159</v>
      </c>
      <c r="Q28" s="6">
        <v>3.984</v>
      </c>
      <c r="R28" s="6">
        <v>-2.6892</v>
      </c>
      <c r="S28" s="6">
        <v>2</v>
      </c>
      <c r="T28" s="7">
        <v>0.6</v>
      </c>
    </row>
    <row r="29" spans="1:20" x14ac:dyDescent="0.35">
      <c r="A29" s="4" t="s">
        <v>149</v>
      </c>
      <c r="B29" s="5">
        <v>44600</v>
      </c>
      <c r="C29" s="5">
        <v>44605</v>
      </c>
      <c r="D29" s="6" t="s">
        <v>65</v>
      </c>
      <c r="E29" s="6" t="s">
        <v>150</v>
      </c>
      <c r="F29" s="6" t="s">
        <v>151</v>
      </c>
      <c r="G29" s="6" t="s">
        <v>49</v>
      </c>
      <c r="H29" s="6" t="s">
        <v>25</v>
      </c>
      <c r="I29" s="6" t="s">
        <v>152</v>
      </c>
      <c r="J29" s="6" t="s">
        <v>88</v>
      </c>
      <c r="K29" s="6">
        <v>77070</v>
      </c>
      <c r="L29" s="6" t="s">
        <v>52</v>
      </c>
      <c r="M29" s="6" t="s">
        <v>160</v>
      </c>
      <c r="N29" s="6" t="s">
        <v>30</v>
      </c>
      <c r="O29" s="6" t="s">
        <v>62</v>
      </c>
      <c r="P29" s="6" t="s">
        <v>161</v>
      </c>
      <c r="Q29" s="6">
        <v>12.992000000000001</v>
      </c>
      <c r="R29" s="6">
        <v>-32.479999999999997</v>
      </c>
      <c r="S29" s="6">
        <v>2</v>
      </c>
      <c r="T29" s="7">
        <v>0.8</v>
      </c>
    </row>
    <row r="30" spans="1:20" x14ac:dyDescent="0.35">
      <c r="A30" s="4" t="s">
        <v>162</v>
      </c>
      <c r="B30" s="5">
        <v>44358</v>
      </c>
      <c r="C30" s="5">
        <v>44362</v>
      </c>
      <c r="D30" s="6" t="s">
        <v>21</v>
      </c>
      <c r="E30" s="6" t="s">
        <v>163</v>
      </c>
      <c r="F30" s="6" t="s">
        <v>164</v>
      </c>
      <c r="G30" s="6" t="s">
        <v>109</v>
      </c>
      <c r="H30" s="6" t="s">
        <v>25</v>
      </c>
      <c r="I30" s="6" t="s">
        <v>165</v>
      </c>
      <c r="J30" s="6" t="s">
        <v>38</v>
      </c>
      <c r="K30" s="6">
        <v>90036</v>
      </c>
      <c r="L30" s="6" t="s">
        <v>28</v>
      </c>
      <c r="M30" s="6" t="s">
        <v>166</v>
      </c>
      <c r="N30" s="6" t="s">
        <v>30</v>
      </c>
      <c r="O30" s="6" t="s">
        <v>130</v>
      </c>
      <c r="P30" s="6" t="s">
        <v>167</v>
      </c>
      <c r="Q30" s="6">
        <v>14.62</v>
      </c>
      <c r="R30" s="6">
        <v>6.8714000000000004</v>
      </c>
      <c r="S30" s="6">
        <v>2</v>
      </c>
      <c r="T30" s="7">
        <v>0</v>
      </c>
    </row>
    <row r="31" spans="1:20" x14ac:dyDescent="0.35">
      <c r="A31" s="4" t="s">
        <v>168</v>
      </c>
      <c r="B31" s="5">
        <v>44198</v>
      </c>
      <c r="C31" s="5">
        <v>44200</v>
      </c>
      <c r="D31" s="6" t="s">
        <v>34</v>
      </c>
      <c r="E31" s="6" t="s">
        <v>169</v>
      </c>
      <c r="F31" s="6" t="s">
        <v>170</v>
      </c>
      <c r="G31" s="6" t="s">
        <v>49</v>
      </c>
      <c r="H31" s="6" t="s">
        <v>25</v>
      </c>
      <c r="I31" s="6" t="s">
        <v>165</v>
      </c>
      <c r="J31" s="6" t="s">
        <v>38</v>
      </c>
      <c r="K31" s="6">
        <v>90045</v>
      </c>
      <c r="L31" s="6" t="s">
        <v>28</v>
      </c>
      <c r="M31" s="6" t="s">
        <v>171</v>
      </c>
      <c r="N31" s="6" t="s">
        <v>30</v>
      </c>
      <c r="O31" s="6" t="s">
        <v>90</v>
      </c>
      <c r="P31" s="6" t="s">
        <v>172</v>
      </c>
      <c r="Q31" s="6">
        <v>114.46</v>
      </c>
      <c r="R31" s="6">
        <v>28.614999999999998</v>
      </c>
      <c r="S31" s="6">
        <v>2</v>
      </c>
      <c r="T31" s="7">
        <v>0</v>
      </c>
    </row>
    <row r="32" spans="1:20" x14ac:dyDescent="0.35">
      <c r="A32" s="4" t="s">
        <v>173</v>
      </c>
      <c r="B32" s="5">
        <v>44106</v>
      </c>
      <c r="C32" s="5">
        <v>44111</v>
      </c>
      <c r="D32" s="6" t="s">
        <v>65</v>
      </c>
      <c r="E32" s="6" t="s">
        <v>174</v>
      </c>
      <c r="F32" s="6" t="s">
        <v>175</v>
      </c>
      <c r="G32" s="6" t="s">
        <v>49</v>
      </c>
      <c r="H32" s="6" t="s">
        <v>25</v>
      </c>
      <c r="I32" s="6" t="s">
        <v>165</v>
      </c>
      <c r="J32" s="6" t="s">
        <v>38</v>
      </c>
      <c r="K32" s="6">
        <v>90032</v>
      </c>
      <c r="L32" s="6" t="s">
        <v>28</v>
      </c>
      <c r="M32" s="6" t="s">
        <v>176</v>
      </c>
      <c r="N32" s="6" t="s">
        <v>77</v>
      </c>
      <c r="O32" s="6" t="s">
        <v>138</v>
      </c>
      <c r="P32" s="6" t="s">
        <v>177</v>
      </c>
      <c r="Q32" s="6">
        <v>120.666</v>
      </c>
      <c r="R32" s="6">
        <v>18.454799999999999</v>
      </c>
      <c r="S32" s="6">
        <v>2</v>
      </c>
      <c r="T32" s="7">
        <v>0.15</v>
      </c>
    </row>
    <row r="33" spans="1:20" x14ac:dyDescent="0.35">
      <c r="A33" s="4" t="s">
        <v>178</v>
      </c>
      <c r="B33" s="5">
        <v>44178</v>
      </c>
      <c r="C33" s="5">
        <v>44183</v>
      </c>
      <c r="D33" s="6" t="s">
        <v>21</v>
      </c>
      <c r="E33" s="6" t="s">
        <v>179</v>
      </c>
      <c r="F33" s="6" t="s">
        <v>180</v>
      </c>
      <c r="G33" s="6" t="s">
        <v>49</v>
      </c>
      <c r="H33" s="6" t="s">
        <v>25</v>
      </c>
      <c r="I33" s="6" t="s">
        <v>165</v>
      </c>
      <c r="J33" s="6" t="s">
        <v>38</v>
      </c>
      <c r="K33" s="6">
        <v>90045</v>
      </c>
      <c r="L33" s="6" t="s">
        <v>28</v>
      </c>
      <c r="M33" s="6" t="s">
        <v>181</v>
      </c>
      <c r="N33" s="6" t="s">
        <v>42</v>
      </c>
      <c r="O33" s="6" t="s">
        <v>104</v>
      </c>
      <c r="P33" s="6" t="s">
        <v>182</v>
      </c>
      <c r="Q33" s="6">
        <v>50</v>
      </c>
      <c r="R33" s="6">
        <v>10.5</v>
      </c>
      <c r="S33" s="6">
        <v>2</v>
      </c>
      <c r="T33" s="7">
        <v>0</v>
      </c>
    </row>
    <row r="34" spans="1:20" hidden="1" x14ac:dyDescent="0.35">
      <c r="A34" s="4" t="s">
        <v>183</v>
      </c>
      <c r="B34" s="5">
        <v>44707</v>
      </c>
      <c r="C34" s="5">
        <v>44713</v>
      </c>
      <c r="D34" s="6" t="s">
        <v>65</v>
      </c>
      <c r="E34" s="6" t="s">
        <v>184</v>
      </c>
      <c r="F34" s="6" t="s">
        <v>185</v>
      </c>
      <c r="G34" s="6" t="s">
        <v>24</v>
      </c>
      <c r="H34" s="6" t="s">
        <v>25</v>
      </c>
      <c r="I34" s="6" t="s">
        <v>186</v>
      </c>
      <c r="J34" s="6"/>
      <c r="K34" s="6">
        <v>40214</v>
      </c>
      <c r="L34" s="6" t="s">
        <v>118</v>
      </c>
      <c r="M34" s="6" t="s">
        <v>187</v>
      </c>
      <c r="N34" s="6" t="s">
        <v>30</v>
      </c>
      <c r="O34" s="6" t="s">
        <v>154</v>
      </c>
      <c r="P34" s="6" t="s">
        <v>188</v>
      </c>
      <c r="Q34" s="6">
        <v>58.34</v>
      </c>
      <c r="R34" s="6">
        <v>28.0032</v>
      </c>
      <c r="S34" s="6">
        <v>2</v>
      </c>
      <c r="T34" s="7">
        <v>0</v>
      </c>
    </row>
    <row r="35" spans="1:20" x14ac:dyDescent="0.35">
      <c r="A35" s="4" t="s">
        <v>183</v>
      </c>
      <c r="B35" s="5">
        <v>44707</v>
      </c>
      <c r="C35" s="5">
        <v>44713</v>
      </c>
      <c r="D35" s="6" t="s">
        <v>65</v>
      </c>
      <c r="E35" s="6" t="s">
        <v>184</v>
      </c>
      <c r="F35" s="6" t="s">
        <v>185</v>
      </c>
      <c r="G35" s="6" t="s">
        <v>24</v>
      </c>
      <c r="H35" s="6" t="s">
        <v>25</v>
      </c>
      <c r="I35" s="6" t="s">
        <v>186</v>
      </c>
      <c r="J35" s="6" t="s">
        <v>136</v>
      </c>
      <c r="K35" s="6">
        <v>40214</v>
      </c>
      <c r="L35" s="6" t="s">
        <v>118</v>
      </c>
      <c r="M35" s="6" t="s">
        <v>189</v>
      </c>
      <c r="N35" s="6" t="s">
        <v>42</v>
      </c>
      <c r="O35" s="6" t="s">
        <v>43</v>
      </c>
      <c r="P35" s="6" t="s">
        <v>190</v>
      </c>
      <c r="Q35" s="6">
        <v>539.97</v>
      </c>
      <c r="R35" s="6">
        <v>134.99250000000001</v>
      </c>
      <c r="S35" s="6">
        <v>3</v>
      </c>
      <c r="T35" s="7">
        <v>0</v>
      </c>
    </row>
    <row r="36" spans="1:20" x14ac:dyDescent="0.35">
      <c r="A36" s="4" t="s">
        <v>191</v>
      </c>
      <c r="B36" s="5">
        <v>43492</v>
      </c>
      <c r="C36" s="5">
        <v>43498</v>
      </c>
      <c r="D36" s="6" t="s">
        <v>65</v>
      </c>
      <c r="E36" s="6" t="s">
        <v>192</v>
      </c>
      <c r="F36" s="6" t="s">
        <v>193</v>
      </c>
      <c r="G36" s="6" t="s">
        <v>49</v>
      </c>
      <c r="H36" s="6" t="s">
        <v>25</v>
      </c>
      <c r="I36" s="6" t="s">
        <v>194</v>
      </c>
      <c r="J36" s="6" t="s">
        <v>195</v>
      </c>
      <c r="K36" s="6">
        <v>10024</v>
      </c>
      <c r="L36" s="6" t="s">
        <v>102</v>
      </c>
      <c r="M36" s="6" t="s">
        <v>196</v>
      </c>
      <c r="N36" s="6" t="s">
        <v>30</v>
      </c>
      <c r="O36" s="6" t="s">
        <v>154</v>
      </c>
      <c r="P36" s="6" t="s">
        <v>197</v>
      </c>
      <c r="Q36" s="6">
        <v>3.9279999999999999</v>
      </c>
      <c r="R36" s="6">
        <v>1.3257000000000001</v>
      </c>
      <c r="S36" s="6">
        <v>1</v>
      </c>
      <c r="T36" s="7">
        <v>0.2</v>
      </c>
    </row>
    <row r="37" spans="1:20" x14ac:dyDescent="0.35">
      <c r="A37" s="4" t="s">
        <v>198</v>
      </c>
      <c r="B37" s="5">
        <v>43785</v>
      </c>
      <c r="C37" s="5">
        <v>43790</v>
      </c>
      <c r="D37" s="6" t="s">
        <v>65</v>
      </c>
      <c r="E37" s="6" t="s">
        <v>199</v>
      </c>
      <c r="F37" s="6" t="s">
        <v>200</v>
      </c>
      <c r="G37" s="6" t="s">
        <v>109</v>
      </c>
      <c r="H37" s="6" t="s">
        <v>25</v>
      </c>
      <c r="I37" s="6" t="s">
        <v>201</v>
      </c>
      <c r="J37" s="6" t="s">
        <v>202</v>
      </c>
      <c r="K37" s="6">
        <v>19711</v>
      </c>
      <c r="L37" s="6" t="s">
        <v>102</v>
      </c>
      <c r="M37" s="6" t="s">
        <v>203</v>
      </c>
      <c r="N37" s="6" t="s">
        <v>30</v>
      </c>
      <c r="O37" s="6" t="s">
        <v>90</v>
      </c>
      <c r="P37" s="6" t="s">
        <v>204</v>
      </c>
      <c r="Q37" s="6">
        <v>2934.33</v>
      </c>
      <c r="R37" s="6">
        <v>792.26909999999998</v>
      </c>
      <c r="S37" s="6">
        <v>7</v>
      </c>
      <c r="T37" s="7">
        <v>0</v>
      </c>
    </row>
    <row r="38" spans="1:20" x14ac:dyDescent="0.35">
      <c r="A38" s="4" t="s">
        <v>198</v>
      </c>
      <c r="B38" s="5">
        <v>43785</v>
      </c>
      <c r="C38" s="5">
        <v>43790</v>
      </c>
      <c r="D38" s="6" t="s">
        <v>65</v>
      </c>
      <c r="E38" s="6" t="s">
        <v>199</v>
      </c>
      <c r="F38" s="6" t="s">
        <v>200</v>
      </c>
      <c r="G38" s="6" t="s">
        <v>109</v>
      </c>
      <c r="H38" s="6" t="s">
        <v>25</v>
      </c>
      <c r="I38" s="6" t="s">
        <v>201</v>
      </c>
      <c r="J38" s="6" t="s">
        <v>202</v>
      </c>
      <c r="K38" s="6">
        <v>19711</v>
      </c>
      <c r="L38" s="6" t="s">
        <v>102</v>
      </c>
      <c r="M38" s="6" t="s">
        <v>205</v>
      </c>
      <c r="N38" s="6" t="s">
        <v>77</v>
      </c>
      <c r="O38" s="6" t="s">
        <v>78</v>
      </c>
      <c r="P38" s="6" t="s">
        <v>206</v>
      </c>
      <c r="Q38" s="6">
        <v>124.41</v>
      </c>
      <c r="R38" s="6">
        <v>14.9292</v>
      </c>
      <c r="S38" s="6">
        <v>3</v>
      </c>
      <c r="T38" s="7">
        <v>0</v>
      </c>
    </row>
    <row r="39" spans="1:20" x14ac:dyDescent="0.35">
      <c r="A39" s="4" t="s">
        <v>198</v>
      </c>
      <c r="B39" s="5">
        <v>43785</v>
      </c>
      <c r="C39" s="5">
        <v>43790</v>
      </c>
      <c r="D39" s="6" t="s">
        <v>65</v>
      </c>
      <c r="E39" s="6" t="s">
        <v>199</v>
      </c>
      <c r="F39" s="6" t="s">
        <v>200</v>
      </c>
      <c r="G39" s="6" t="s">
        <v>109</v>
      </c>
      <c r="H39" s="6" t="s">
        <v>25</v>
      </c>
      <c r="I39" s="6" t="s">
        <v>201</v>
      </c>
      <c r="J39" s="6" t="s">
        <v>202</v>
      </c>
      <c r="K39" s="6">
        <v>19711</v>
      </c>
      <c r="L39" s="6" t="s">
        <v>102</v>
      </c>
      <c r="M39" s="6" t="s">
        <v>207</v>
      </c>
      <c r="N39" s="6" t="s">
        <v>30</v>
      </c>
      <c r="O39" s="6" t="s">
        <v>208</v>
      </c>
      <c r="P39" s="6" t="s">
        <v>209</v>
      </c>
      <c r="Q39" s="6">
        <v>57.75</v>
      </c>
      <c r="R39" s="6">
        <v>26.565000000000001</v>
      </c>
      <c r="S39" s="6">
        <v>5</v>
      </c>
      <c r="T39" s="7">
        <v>0</v>
      </c>
    </row>
    <row r="40" spans="1:20" x14ac:dyDescent="0.35">
      <c r="A40" s="4" t="s">
        <v>210</v>
      </c>
      <c r="B40" s="5">
        <v>44257</v>
      </c>
      <c r="C40" s="5">
        <v>44262</v>
      </c>
      <c r="D40" s="6" t="s">
        <v>65</v>
      </c>
      <c r="E40" s="6" t="s">
        <v>211</v>
      </c>
      <c r="F40" s="6" t="s">
        <v>212</v>
      </c>
      <c r="G40" s="6" t="s">
        <v>49</v>
      </c>
      <c r="H40" s="6" t="s">
        <v>25</v>
      </c>
      <c r="I40" s="6" t="s">
        <v>201</v>
      </c>
      <c r="J40" s="6" t="s">
        <v>202</v>
      </c>
      <c r="K40" s="6">
        <v>19711</v>
      </c>
      <c r="L40" s="6" t="s">
        <v>102</v>
      </c>
      <c r="M40" s="6" t="s">
        <v>213</v>
      </c>
      <c r="N40" s="6" t="s">
        <v>30</v>
      </c>
      <c r="O40" s="6" t="s">
        <v>154</v>
      </c>
      <c r="P40" s="6" t="s">
        <v>214</v>
      </c>
      <c r="Q40" s="6">
        <v>447.86</v>
      </c>
      <c r="R40" s="6">
        <v>219.45140000000001</v>
      </c>
      <c r="S40" s="6">
        <v>7</v>
      </c>
      <c r="T40" s="7">
        <v>0</v>
      </c>
    </row>
    <row r="41" spans="1:20" x14ac:dyDescent="0.35">
      <c r="A41" s="4" t="s">
        <v>210</v>
      </c>
      <c r="B41" s="5">
        <v>44257</v>
      </c>
      <c r="C41" s="5">
        <v>44262</v>
      </c>
      <c r="D41" s="6" t="s">
        <v>65</v>
      </c>
      <c r="E41" s="6" t="s">
        <v>211</v>
      </c>
      <c r="F41" s="6" t="s">
        <v>212</v>
      </c>
      <c r="G41" s="6" t="s">
        <v>49</v>
      </c>
      <c r="H41" s="6" t="s">
        <v>25</v>
      </c>
      <c r="I41" s="6" t="s">
        <v>201</v>
      </c>
      <c r="J41" s="6" t="s">
        <v>202</v>
      </c>
      <c r="K41" s="6">
        <v>19711</v>
      </c>
      <c r="L41" s="6" t="s">
        <v>102</v>
      </c>
      <c r="M41" s="6" t="s">
        <v>215</v>
      </c>
      <c r="N41" s="6" t="s">
        <v>42</v>
      </c>
      <c r="O41" s="6" t="s">
        <v>43</v>
      </c>
      <c r="P41" s="6" t="s">
        <v>216</v>
      </c>
      <c r="Q41" s="6">
        <v>479.95</v>
      </c>
      <c r="R41" s="6">
        <v>129.5865</v>
      </c>
      <c r="S41" s="6">
        <v>5</v>
      </c>
      <c r="T41" s="7">
        <v>0</v>
      </c>
    </row>
    <row r="42" spans="1:20" x14ac:dyDescent="0.35">
      <c r="A42" s="4" t="s">
        <v>210</v>
      </c>
      <c r="B42" s="5">
        <v>44257</v>
      </c>
      <c r="C42" s="5">
        <v>44262</v>
      </c>
      <c r="D42" s="6" t="s">
        <v>65</v>
      </c>
      <c r="E42" s="6" t="s">
        <v>211</v>
      </c>
      <c r="F42" s="6" t="s">
        <v>212</v>
      </c>
      <c r="G42" s="6" t="s">
        <v>49</v>
      </c>
      <c r="H42" s="6" t="s">
        <v>25</v>
      </c>
      <c r="I42" s="6" t="s">
        <v>201</v>
      </c>
      <c r="J42" s="6" t="s">
        <v>202</v>
      </c>
      <c r="K42" s="6">
        <v>19711</v>
      </c>
      <c r="L42" s="6" t="s">
        <v>102</v>
      </c>
      <c r="M42" s="6" t="s">
        <v>217</v>
      </c>
      <c r="N42" s="6" t="s">
        <v>30</v>
      </c>
      <c r="O42" s="6" t="s">
        <v>31</v>
      </c>
      <c r="P42" s="6" t="s">
        <v>218</v>
      </c>
      <c r="Q42" s="6">
        <v>166.44</v>
      </c>
      <c r="R42" s="6">
        <v>79.891199999999998</v>
      </c>
      <c r="S42" s="6">
        <v>3</v>
      </c>
      <c r="T42" s="7">
        <v>0</v>
      </c>
    </row>
    <row r="43" spans="1:20" x14ac:dyDescent="0.35">
      <c r="A43" s="4" t="s">
        <v>198</v>
      </c>
      <c r="B43" s="5">
        <v>43785</v>
      </c>
      <c r="C43" s="5">
        <v>43790</v>
      </c>
      <c r="D43" s="6" t="s">
        <v>65</v>
      </c>
      <c r="E43" s="6" t="s">
        <v>199</v>
      </c>
      <c r="F43" s="6" t="s">
        <v>200</v>
      </c>
      <c r="G43" s="6" t="s">
        <v>109</v>
      </c>
      <c r="H43" s="6" t="s">
        <v>25</v>
      </c>
      <c r="I43" s="6" t="s">
        <v>201</v>
      </c>
      <c r="J43" s="6" t="s">
        <v>202</v>
      </c>
      <c r="K43" s="6">
        <v>19711</v>
      </c>
      <c r="L43" s="6" t="s">
        <v>102</v>
      </c>
      <c r="M43" s="6" t="s">
        <v>203</v>
      </c>
      <c r="N43" s="6" t="s">
        <v>30</v>
      </c>
      <c r="O43" s="6" t="s">
        <v>90</v>
      </c>
      <c r="P43" s="6" t="s">
        <v>204</v>
      </c>
      <c r="Q43" s="6">
        <v>2934.33</v>
      </c>
      <c r="R43" s="6">
        <v>792.26909999999998</v>
      </c>
      <c r="S43" s="6">
        <v>7</v>
      </c>
      <c r="T43" s="7">
        <v>0</v>
      </c>
    </row>
    <row r="44" spans="1:20" x14ac:dyDescent="0.35">
      <c r="A44" s="4" t="s">
        <v>210</v>
      </c>
      <c r="B44" s="5">
        <v>44257</v>
      </c>
      <c r="C44" s="5">
        <v>44262</v>
      </c>
      <c r="D44" s="6" t="s">
        <v>65</v>
      </c>
      <c r="E44" s="6" t="s">
        <v>211</v>
      </c>
      <c r="F44" s="6" t="s">
        <v>212</v>
      </c>
      <c r="G44" s="6" t="s">
        <v>49</v>
      </c>
      <c r="H44" s="6" t="s">
        <v>25</v>
      </c>
      <c r="I44" s="6" t="s">
        <v>201</v>
      </c>
      <c r="J44" s="6" t="s">
        <v>202</v>
      </c>
      <c r="K44" s="6">
        <v>19711</v>
      </c>
      <c r="L44" s="6" t="s">
        <v>102</v>
      </c>
      <c r="M44" s="6" t="s">
        <v>217</v>
      </c>
      <c r="N44" s="6" t="s">
        <v>30</v>
      </c>
      <c r="O44" s="6" t="s">
        <v>31</v>
      </c>
      <c r="P44" s="6" t="s">
        <v>218</v>
      </c>
      <c r="Q44" s="6">
        <v>166.44</v>
      </c>
      <c r="R44" s="6">
        <v>79.891199999999998</v>
      </c>
      <c r="S44" s="6">
        <v>3</v>
      </c>
      <c r="T44" s="7">
        <v>0</v>
      </c>
    </row>
    <row r="45" spans="1:20" x14ac:dyDescent="0.35">
      <c r="A45" s="4" t="s">
        <v>219</v>
      </c>
      <c r="B45" s="5">
        <v>43605</v>
      </c>
      <c r="C45" s="5">
        <v>43609</v>
      </c>
      <c r="D45" s="6" t="s">
        <v>65</v>
      </c>
      <c r="E45" s="6" t="s">
        <v>220</v>
      </c>
      <c r="F45" s="6" t="s">
        <v>221</v>
      </c>
      <c r="G45" s="6" t="s">
        <v>24</v>
      </c>
      <c r="H45" s="6" t="s">
        <v>25</v>
      </c>
      <c r="I45" s="6" t="s">
        <v>222</v>
      </c>
      <c r="J45" s="6" t="s">
        <v>38</v>
      </c>
      <c r="K45" s="6">
        <v>92037</v>
      </c>
      <c r="L45" s="6" t="s">
        <v>28</v>
      </c>
      <c r="M45" s="6" t="s">
        <v>223</v>
      </c>
      <c r="N45" s="6" t="s">
        <v>30</v>
      </c>
      <c r="O45" s="6" t="s">
        <v>208</v>
      </c>
      <c r="P45" s="6" t="s">
        <v>224</v>
      </c>
      <c r="Q45" s="6">
        <v>31.84</v>
      </c>
      <c r="R45" s="6">
        <v>10.507199999999999</v>
      </c>
      <c r="S45" s="6">
        <v>8</v>
      </c>
      <c r="T45" s="7">
        <v>0</v>
      </c>
    </row>
    <row r="46" spans="1:20" x14ac:dyDescent="0.35">
      <c r="A46" s="4" t="s">
        <v>225</v>
      </c>
      <c r="B46" s="5">
        <v>43821</v>
      </c>
      <c r="C46" s="5">
        <v>43825</v>
      </c>
      <c r="D46" s="6" t="s">
        <v>21</v>
      </c>
      <c r="E46" s="6" t="s">
        <v>226</v>
      </c>
      <c r="F46" s="6" t="s">
        <v>227</v>
      </c>
      <c r="G46" s="6" t="s">
        <v>49</v>
      </c>
      <c r="H46" s="6" t="s">
        <v>25</v>
      </c>
      <c r="I46" s="6" t="s">
        <v>228</v>
      </c>
      <c r="J46" s="6" t="s">
        <v>117</v>
      </c>
      <c r="K46" s="6">
        <v>33614</v>
      </c>
      <c r="L46" s="6" t="s">
        <v>118</v>
      </c>
      <c r="M46" s="6" t="s">
        <v>229</v>
      </c>
      <c r="N46" s="6" t="s">
        <v>30</v>
      </c>
      <c r="O46" s="6" t="s">
        <v>31</v>
      </c>
      <c r="P46" s="6" t="s">
        <v>230</v>
      </c>
      <c r="Q46" s="6">
        <v>45.527999999999999</v>
      </c>
      <c r="R46" s="6">
        <v>15.934799999999999</v>
      </c>
      <c r="S46" s="6">
        <v>3</v>
      </c>
      <c r="T46" s="7">
        <v>0.2</v>
      </c>
    </row>
    <row r="47" spans="1:20" x14ac:dyDescent="0.35">
      <c r="A47" s="4" t="s">
        <v>225</v>
      </c>
      <c r="B47" s="5">
        <v>43821</v>
      </c>
      <c r="C47" s="5">
        <v>43825</v>
      </c>
      <c r="D47" s="6" t="s">
        <v>21</v>
      </c>
      <c r="E47" s="6" t="s">
        <v>226</v>
      </c>
      <c r="F47" s="6" t="s">
        <v>227</v>
      </c>
      <c r="G47" s="6" t="s">
        <v>49</v>
      </c>
      <c r="H47" s="6" t="s">
        <v>25</v>
      </c>
      <c r="I47" s="6" t="s">
        <v>228</v>
      </c>
      <c r="J47" s="6" t="s">
        <v>117</v>
      </c>
      <c r="K47" s="6">
        <v>33614</v>
      </c>
      <c r="L47" s="6" t="s">
        <v>118</v>
      </c>
      <c r="M47" s="6" t="s">
        <v>231</v>
      </c>
      <c r="N47" s="6" t="s">
        <v>77</v>
      </c>
      <c r="O47" s="6" t="s">
        <v>95</v>
      </c>
      <c r="P47" s="6" t="s">
        <v>232</v>
      </c>
      <c r="Q47" s="6">
        <v>64.784000000000006</v>
      </c>
      <c r="R47" s="6">
        <v>6.4783999999999997</v>
      </c>
      <c r="S47" s="6">
        <v>1</v>
      </c>
      <c r="T47" s="7">
        <v>0.2</v>
      </c>
    </row>
    <row r="48" spans="1:20" x14ac:dyDescent="0.35">
      <c r="A48" s="8" t="s">
        <v>225</v>
      </c>
      <c r="B48" s="9">
        <v>43821</v>
      </c>
      <c r="C48" s="9">
        <v>43825</v>
      </c>
      <c r="D48" s="10" t="s">
        <v>21</v>
      </c>
      <c r="E48" s="10" t="s">
        <v>226</v>
      </c>
      <c r="F48" s="10" t="s">
        <v>227</v>
      </c>
      <c r="G48" s="10" t="s">
        <v>49</v>
      </c>
      <c r="H48" s="10" t="s">
        <v>25</v>
      </c>
      <c r="I48" s="10" t="s">
        <v>228</v>
      </c>
      <c r="J48" s="10" t="s">
        <v>117</v>
      </c>
      <c r="K48" s="10">
        <v>33614</v>
      </c>
      <c r="L48" s="10" t="s">
        <v>118</v>
      </c>
      <c r="M48" s="10" t="s">
        <v>233</v>
      </c>
      <c r="N48" s="10" t="s">
        <v>30</v>
      </c>
      <c r="O48" s="10" t="s">
        <v>90</v>
      </c>
      <c r="P48" s="10" t="s">
        <v>234</v>
      </c>
      <c r="Q48" s="10">
        <v>424.27199999999999</v>
      </c>
      <c r="R48" s="10">
        <v>-10.6068</v>
      </c>
      <c r="S48" s="10">
        <v>2</v>
      </c>
      <c r="T48" s="11">
        <v>0.2</v>
      </c>
    </row>
    <row r="49" spans="1:20" x14ac:dyDescent="0.35">
      <c r="A49" t="s">
        <v>235</v>
      </c>
      <c r="B49" s="12">
        <v>44894</v>
      </c>
      <c r="C49" s="12">
        <v>44894</v>
      </c>
      <c r="D49" t="s">
        <v>46</v>
      </c>
      <c r="E49" t="s">
        <v>236</v>
      </c>
      <c r="F49" t="s">
        <v>237</v>
      </c>
      <c r="G49" t="s">
        <v>24</v>
      </c>
      <c r="H49" t="s">
        <v>25</v>
      </c>
      <c r="I49" t="s">
        <v>238</v>
      </c>
      <c r="J49" t="s">
        <v>239</v>
      </c>
      <c r="K49">
        <v>43615</v>
      </c>
      <c r="L49" t="s">
        <v>102</v>
      </c>
      <c r="M49" t="s">
        <v>240</v>
      </c>
      <c r="N49" t="s">
        <v>30</v>
      </c>
      <c r="O49" t="s">
        <v>62</v>
      </c>
      <c r="P49" t="s">
        <v>241</v>
      </c>
      <c r="Q49">
        <v>663.93600000000004</v>
      </c>
      <c r="R49">
        <v>82.992000000000004</v>
      </c>
      <c r="S49">
        <v>4</v>
      </c>
      <c r="T49">
        <v>0.2</v>
      </c>
    </row>
    <row r="50" spans="1:20" x14ac:dyDescent="0.35">
      <c r="A50" t="s">
        <v>235</v>
      </c>
      <c r="B50" s="12">
        <v>44894</v>
      </c>
      <c r="C50" s="12">
        <v>44894</v>
      </c>
      <c r="D50" t="s">
        <v>46</v>
      </c>
      <c r="E50" t="s">
        <v>236</v>
      </c>
      <c r="F50" t="s">
        <v>237</v>
      </c>
      <c r="G50" t="s">
        <v>24</v>
      </c>
      <c r="H50" t="s">
        <v>25</v>
      </c>
      <c r="I50" t="s">
        <v>238</v>
      </c>
      <c r="J50" t="s">
        <v>239</v>
      </c>
      <c r="K50">
        <v>43615</v>
      </c>
      <c r="L50" t="s">
        <v>102</v>
      </c>
      <c r="M50" t="s">
        <v>240</v>
      </c>
      <c r="N50" t="s">
        <v>30</v>
      </c>
      <c r="O50" t="s">
        <v>62</v>
      </c>
      <c r="P50" t="s">
        <v>241</v>
      </c>
      <c r="Q50">
        <v>663.93600000000004</v>
      </c>
      <c r="R50">
        <v>82.992000000000004</v>
      </c>
      <c r="S50">
        <v>4</v>
      </c>
      <c r="T50">
        <v>0.2</v>
      </c>
    </row>
    <row r="51" spans="1:20" x14ac:dyDescent="0.35">
      <c r="A51" t="s">
        <v>242</v>
      </c>
      <c r="B51" s="12">
        <v>44684</v>
      </c>
      <c r="C51" s="12">
        <v>44689</v>
      </c>
      <c r="D51" t="s">
        <v>21</v>
      </c>
      <c r="E51" t="s">
        <v>243</v>
      </c>
      <c r="F51" t="s">
        <v>244</v>
      </c>
      <c r="G51" t="s">
        <v>49</v>
      </c>
      <c r="H51" t="s">
        <v>25</v>
      </c>
      <c r="I51" t="s">
        <v>245</v>
      </c>
      <c r="J51" t="s">
        <v>38</v>
      </c>
      <c r="K51">
        <v>92683</v>
      </c>
      <c r="L51" t="s">
        <v>28</v>
      </c>
      <c r="M51" t="s">
        <v>246</v>
      </c>
      <c r="N51" t="s">
        <v>30</v>
      </c>
      <c r="O51" t="s">
        <v>62</v>
      </c>
      <c r="P51" t="s">
        <v>247</v>
      </c>
      <c r="Q51">
        <v>243.16</v>
      </c>
      <c r="R51">
        <v>72.947999999999993</v>
      </c>
      <c r="S51">
        <v>2</v>
      </c>
      <c r="T51">
        <v>0</v>
      </c>
    </row>
  </sheetData>
  <autoFilter ref="A1:T51" xr:uid="{00000000-0001-0000-0000-000000000000}">
    <filterColumn colId="5">
      <customFilters>
        <customFilter operator="notEqual" val=" "/>
      </customFilters>
    </filterColumn>
    <filterColumn colId="9">
      <customFilters>
        <customFilter operator="notEqual" val=" "/>
      </customFilters>
    </filterColumn>
    <sortState xmlns:xlrd2="http://schemas.microsoft.com/office/spreadsheetml/2017/richdata2" ref="A2:T51">
      <sortCondition ref="I2:I51"/>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03239-0EE0-4442-8B51-6A529F0B1706}">
  <dimension ref="A3:E39"/>
  <sheetViews>
    <sheetView tabSelected="1" workbookViewId="0">
      <selection activeCell="E21" sqref="E20:E21"/>
    </sheetView>
  </sheetViews>
  <sheetFormatPr defaultRowHeight="14.5" x14ac:dyDescent="0.35"/>
  <cols>
    <col min="1" max="1" width="12.36328125" bestFit="1" customWidth="1"/>
    <col min="2" max="2" width="11.1796875" bestFit="1" customWidth="1"/>
  </cols>
  <sheetData>
    <row r="3" spans="1:2" x14ac:dyDescent="0.35">
      <c r="A3" s="15" t="s">
        <v>264</v>
      </c>
      <c r="B3" t="s">
        <v>266</v>
      </c>
    </row>
    <row r="4" spans="1:2" x14ac:dyDescent="0.35">
      <c r="A4" s="16" t="s">
        <v>104</v>
      </c>
      <c r="B4" s="17">
        <v>209.78399999999999</v>
      </c>
    </row>
    <row r="5" spans="1:2" x14ac:dyDescent="0.35">
      <c r="A5" s="16" t="s">
        <v>62</v>
      </c>
      <c r="B5" s="17">
        <v>1589.7920000000001</v>
      </c>
    </row>
    <row r="6" spans="1:2" x14ac:dyDescent="0.35">
      <c r="A6" s="16" t="s">
        <v>208</v>
      </c>
      <c r="B6" s="17">
        <v>89.59</v>
      </c>
    </row>
    <row r="7" spans="1:2" x14ac:dyDescent="0.35">
      <c r="A7" s="16" t="s">
        <v>154</v>
      </c>
      <c r="B7" s="17">
        <v>762.91200000000003</v>
      </c>
    </row>
    <row r="8" spans="1:2" x14ac:dyDescent="0.35">
      <c r="A8" s="16" t="s">
        <v>138</v>
      </c>
      <c r="B8" s="17">
        <v>382.62599999999998</v>
      </c>
    </row>
    <row r="9" spans="1:2" x14ac:dyDescent="0.35">
      <c r="A9" s="16" t="s">
        <v>95</v>
      </c>
      <c r="B9" s="17">
        <v>1778.096</v>
      </c>
    </row>
    <row r="10" spans="1:2" x14ac:dyDescent="0.35">
      <c r="A10" s="16" t="s">
        <v>70</v>
      </c>
      <c r="B10" s="17">
        <v>7.0720000000000001</v>
      </c>
    </row>
    <row r="11" spans="1:2" x14ac:dyDescent="0.35">
      <c r="A11" s="16" t="s">
        <v>59</v>
      </c>
      <c r="B11" s="17">
        <v>24.064</v>
      </c>
    </row>
    <row r="12" spans="1:2" x14ac:dyDescent="0.35">
      <c r="A12" s="16" t="s">
        <v>78</v>
      </c>
      <c r="B12" s="17">
        <v>298.09399999999999</v>
      </c>
    </row>
    <row r="13" spans="1:2" x14ac:dyDescent="0.35">
      <c r="A13" s="16" t="s">
        <v>130</v>
      </c>
      <c r="B13" s="17">
        <v>47.739999999999995</v>
      </c>
    </row>
    <row r="14" spans="1:2" x14ac:dyDescent="0.35">
      <c r="A14" s="16" t="s">
        <v>31</v>
      </c>
      <c r="B14" s="17">
        <v>719.57600000000002</v>
      </c>
    </row>
    <row r="15" spans="1:2" x14ac:dyDescent="0.35">
      <c r="A15" s="16" t="s">
        <v>43</v>
      </c>
      <c r="B15" s="17">
        <v>1993.6020000000001</v>
      </c>
    </row>
    <row r="16" spans="1:2" x14ac:dyDescent="0.35">
      <c r="A16" s="16" t="s">
        <v>90</v>
      </c>
      <c r="B16" s="17">
        <v>6805.1840000000002</v>
      </c>
    </row>
    <row r="17" spans="1:5" x14ac:dyDescent="0.35">
      <c r="A17" s="16" t="s">
        <v>54</v>
      </c>
      <c r="B17" s="17">
        <v>31.68</v>
      </c>
    </row>
    <row r="18" spans="1:5" x14ac:dyDescent="0.35">
      <c r="A18" s="16" t="s">
        <v>120</v>
      </c>
      <c r="B18" s="17">
        <v>957.57749999999999</v>
      </c>
    </row>
    <row r="19" spans="1:5" x14ac:dyDescent="0.35">
      <c r="A19" s="16" t="s">
        <v>265</v>
      </c>
      <c r="B19" s="17">
        <v>15697.389499999999</v>
      </c>
    </row>
    <row r="27" spans="1:5" x14ac:dyDescent="0.35">
      <c r="A27" s="15" t="s">
        <v>264</v>
      </c>
      <c r="B27" t="s">
        <v>266</v>
      </c>
      <c r="D27" s="18" t="s">
        <v>267</v>
      </c>
      <c r="E27" s="18" t="s">
        <v>268</v>
      </c>
    </row>
    <row r="28" spans="1:5" x14ac:dyDescent="0.35">
      <c r="A28" s="16" t="s">
        <v>38</v>
      </c>
      <c r="B28" s="17">
        <v>1011.018</v>
      </c>
      <c r="D28" t="str">
        <f>A28</f>
        <v>California</v>
      </c>
      <c r="E28">
        <f>B28</f>
        <v>1011.018</v>
      </c>
    </row>
    <row r="29" spans="1:5" x14ac:dyDescent="0.35">
      <c r="A29" s="16" t="s">
        <v>202</v>
      </c>
      <c r="B29" s="17">
        <v>7311.5099999999993</v>
      </c>
      <c r="D29" t="str">
        <f t="shared" ref="D29:D39" si="0">A29</f>
        <v>Delaware</v>
      </c>
      <c r="E29">
        <f t="shared" ref="E29:E39" si="1">B29</f>
        <v>7311.5099999999993</v>
      </c>
    </row>
    <row r="30" spans="1:5" x14ac:dyDescent="0.35">
      <c r="A30" s="16" t="s">
        <v>117</v>
      </c>
      <c r="B30" s="17">
        <v>1514.5295000000001</v>
      </c>
      <c r="D30" t="str">
        <f t="shared" si="0"/>
        <v>Florida</v>
      </c>
      <c r="E30">
        <f t="shared" si="1"/>
        <v>1514.5295000000001</v>
      </c>
    </row>
    <row r="31" spans="1:5" x14ac:dyDescent="0.35">
      <c r="A31" s="16" t="s">
        <v>51</v>
      </c>
      <c r="B31" s="17">
        <v>78.951999999999998</v>
      </c>
      <c r="D31" t="str">
        <f t="shared" si="0"/>
        <v>Illinois</v>
      </c>
      <c r="E31">
        <f t="shared" si="1"/>
        <v>78.951999999999998</v>
      </c>
    </row>
    <row r="32" spans="1:5" x14ac:dyDescent="0.35">
      <c r="A32" s="16" t="s">
        <v>136</v>
      </c>
      <c r="B32" s="17">
        <v>2266.8000000000002</v>
      </c>
      <c r="D32" t="str">
        <f t="shared" si="0"/>
        <v>Kentucky</v>
      </c>
      <c r="E32">
        <f t="shared" si="1"/>
        <v>2266.8000000000002</v>
      </c>
    </row>
    <row r="33" spans="1:5" x14ac:dyDescent="0.35">
      <c r="A33" s="16" t="s">
        <v>101</v>
      </c>
      <c r="B33" s="17">
        <v>31.8</v>
      </c>
      <c r="D33" t="str">
        <f t="shared" si="0"/>
        <v>New Jersey</v>
      </c>
      <c r="E33">
        <f t="shared" si="1"/>
        <v>31.8</v>
      </c>
    </row>
    <row r="34" spans="1:5" x14ac:dyDescent="0.35">
      <c r="A34" s="16" t="s">
        <v>27</v>
      </c>
      <c r="B34" s="17">
        <v>288.24</v>
      </c>
      <c r="D34" t="str">
        <f t="shared" si="0"/>
        <v>New Mexico</v>
      </c>
      <c r="E34">
        <f t="shared" si="1"/>
        <v>288.24</v>
      </c>
    </row>
    <row r="35" spans="1:5" x14ac:dyDescent="0.35">
      <c r="A35" s="16" t="s">
        <v>195</v>
      </c>
      <c r="B35" s="17">
        <v>3.9279999999999999</v>
      </c>
      <c r="D35" t="str">
        <f t="shared" si="0"/>
        <v>New York</v>
      </c>
      <c r="E35">
        <f t="shared" si="1"/>
        <v>3.9279999999999999</v>
      </c>
    </row>
    <row r="36" spans="1:5" x14ac:dyDescent="0.35">
      <c r="A36" s="16" t="s">
        <v>239</v>
      </c>
      <c r="B36" s="17">
        <v>1327.8720000000001</v>
      </c>
      <c r="D36" t="str">
        <f t="shared" si="0"/>
        <v>Ohio</v>
      </c>
      <c r="E36">
        <f t="shared" si="1"/>
        <v>1327.8720000000001</v>
      </c>
    </row>
    <row r="37" spans="1:5" x14ac:dyDescent="0.35">
      <c r="A37" s="16" t="s">
        <v>88</v>
      </c>
      <c r="B37" s="17">
        <v>1771.8399999999995</v>
      </c>
      <c r="D37" t="str">
        <f t="shared" si="0"/>
        <v>Texas</v>
      </c>
      <c r="E37">
        <f t="shared" si="1"/>
        <v>1771.8399999999995</v>
      </c>
    </row>
    <row r="38" spans="1:5" x14ac:dyDescent="0.35">
      <c r="A38" s="16" t="s">
        <v>111</v>
      </c>
      <c r="B38" s="17">
        <v>32.56</v>
      </c>
      <c r="D38" t="str">
        <f t="shared" si="0"/>
        <v>Wisconsin</v>
      </c>
      <c r="E38">
        <f t="shared" si="1"/>
        <v>32.56</v>
      </c>
    </row>
    <row r="39" spans="1:5" x14ac:dyDescent="0.35">
      <c r="A39" s="16" t="s">
        <v>265</v>
      </c>
      <c r="B39" s="17">
        <v>15639.049499999997</v>
      </c>
    </row>
  </sheetData>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464E3-1760-4F5B-A92A-900B210ADF8D}">
  <dimension ref="A1"/>
  <sheetViews>
    <sheetView workbookViewId="0">
      <selection activeCell="L3" sqref="L3"/>
    </sheetView>
  </sheetViews>
  <sheetFormatPr defaultRowHeight="14.5" x14ac:dyDescent="0.3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72B55-A42C-46AD-8F2A-6A7EA2C3084C}">
  <dimension ref="A1"/>
  <sheetViews>
    <sheetView showGridLines="0" showRowColHeaders="0" workbookViewId="0">
      <selection activeCell="N23" sqref="N23"/>
    </sheetView>
  </sheetViews>
  <sheetFormatPr defaultRowHeight="14.5" x14ac:dyDescent="0.35"/>
  <cols>
    <col min="1" max="16384" width="8.7265625" style="19"/>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Sheet2</vt:lpstr>
      <vt:lpstr>Cleaned Data</vt:lpstr>
      <vt:lpstr>Pivot1</vt:lpstr>
      <vt:lpstr>Dashboard</vt:lpstr>
      <vt:lpstr>Dashboard1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Anil Wadeda</dc:creator>
  <cp:lastModifiedBy>Satyanarayan Mohanty</cp:lastModifiedBy>
  <dcterms:created xsi:type="dcterms:W3CDTF">2026-07-07T05:18:02Z</dcterms:created>
  <dcterms:modified xsi:type="dcterms:W3CDTF">2026-09-23T10:35:19Z</dcterms:modified>
</cp:coreProperties>
</file>
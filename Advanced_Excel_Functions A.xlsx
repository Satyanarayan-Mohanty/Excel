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 2\[1] DataMites\[8] Advanced Data Analytics With Excel\"/>
    </mc:Choice>
  </mc:AlternateContent>
  <xr:revisionPtr revIDLastSave="0" documentId="13_ncr:1_{83667554-0485-4B46-BC27-59DF80641BFE}" xr6:coauthVersionLast="47" xr6:coauthVersionMax="47" xr10:uidLastSave="{00000000-0000-0000-0000-000000000000}"/>
  <bookViews>
    <workbookView xWindow="-108" yWindow="-108" windowWidth="23256" windowHeight="12456" tabRatio="866" xr2:uid="{00000000-000D-0000-FFFF-FFFF00000000}"/>
  </bookViews>
  <sheets>
    <sheet name="XLookup" sheetId="8" r:id="rId1"/>
    <sheet name="V_Data" sheetId="1" r:id="rId2"/>
    <sheet name="VLookup" sheetId="9" r:id="rId3"/>
    <sheet name="H_Data" sheetId="4" r:id="rId4"/>
    <sheet name="HLookup" sheetId="6" r:id="rId5"/>
    <sheet name="Index Match" sheetId="7" r:id="rId6"/>
    <sheet name="Functions" sheetId="10" r:id="rId7"/>
    <sheet name="Task" sheetId="11" r:id="rId8"/>
  </sheets>
  <calcPr calcId="191029"/>
</workbook>
</file>

<file path=xl/calcChain.xml><?xml version="1.0" encoding="utf-8"?>
<calcChain xmlns="http://schemas.openxmlformats.org/spreadsheetml/2006/main">
  <c r="J13" i="1" l="1"/>
  <c r="I17" i="1"/>
  <c r="I13" i="1"/>
  <c r="I6" i="1"/>
  <c r="I2" i="1"/>
  <c r="A21" i="10"/>
  <c r="D18" i="11"/>
  <c r="D15" i="11"/>
</calcChain>
</file>

<file path=xl/sharedStrings.xml><?xml version="1.0" encoding="utf-8"?>
<sst xmlns="http://schemas.openxmlformats.org/spreadsheetml/2006/main" count="353" uniqueCount="142">
  <si>
    <t>Employee ID</t>
  </si>
  <si>
    <t>Name</t>
  </si>
  <si>
    <t>Department</t>
  </si>
  <si>
    <t>Salary</t>
  </si>
  <si>
    <t>Joining Date</t>
  </si>
  <si>
    <t>Performance Score</t>
  </si>
  <si>
    <t>Marketing</t>
  </si>
  <si>
    <t>Sales</t>
  </si>
  <si>
    <t>Finance</t>
  </si>
  <si>
    <t>IT</t>
  </si>
  <si>
    <t>HR</t>
  </si>
  <si>
    <t>Alice Carter</t>
  </si>
  <si>
    <t>Benjamin Thompson</t>
  </si>
  <si>
    <t>Charlotte Wilson</t>
  </si>
  <si>
    <t>Daniel Martinez</t>
  </si>
  <si>
    <t>Emily Rodriguez</t>
  </si>
  <si>
    <t>Frank Harris</t>
  </si>
  <si>
    <t>Grace Johnson</t>
  </si>
  <si>
    <t>Henry Lewis</t>
  </si>
  <si>
    <t>Isabella Hall</t>
  </si>
  <si>
    <t>Jack Walker</t>
  </si>
  <si>
    <t>Katherine Young</t>
  </si>
  <si>
    <t>Liam Allen</t>
  </si>
  <si>
    <t>Madison King</t>
  </si>
  <si>
    <t>Noah Scott</t>
  </si>
  <si>
    <t>Olivia Wright</t>
  </si>
  <si>
    <t>Patrick Adams</t>
  </si>
  <si>
    <t>Quinn Evans</t>
  </si>
  <si>
    <t>Rachel Baker</t>
  </si>
  <si>
    <t>Samuel Perez</t>
  </si>
  <si>
    <t>Taylor Clark</t>
  </si>
  <si>
    <t>Ulysses Turner</t>
  </si>
  <si>
    <t>Victoria Green</t>
  </si>
  <si>
    <t>William White</t>
  </si>
  <si>
    <t>Xavier Nelson</t>
  </si>
  <si>
    <t>Yolanda Moore</t>
  </si>
  <si>
    <t>Zachary Hill</t>
  </si>
  <si>
    <t>Amelia Cooper</t>
  </si>
  <si>
    <t>Brandon Murphy</t>
  </si>
  <si>
    <t>Chloe Reed</t>
  </si>
  <si>
    <t>David Bell</t>
  </si>
  <si>
    <t>Evelyn Howard</t>
  </si>
  <si>
    <t>Felix Brooks</t>
  </si>
  <si>
    <t>Gabriel Ward</t>
  </si>
  <si>
    <t>Hannah Flores</t>
  </si>
  <si>
    <t>Isaac Simmons</t>
  </si>
  <si>
    <t>Julia Butler</t>
  </si>
  <si>
    <t>Kevin Gray</t>
  </si>
  <si>
    <t>Laura Mitchell</t>
  </si>
  <si>
    <t>Mason Carter</t>
  </si>
  <si>
    <t>Natalie Torres</t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</si>
  <si>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1015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</si>
  <si>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Grace Johnson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</si>
  <si>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ID </t>
    </r>
    <r>
      <rPr>
        <b/>
        <sz val="11"/>
        <color theme="1"/>
        <rFont val="Calibri"/>
        <family val="2"/>
        <scheme val="minor"/>
      </rPr>
      <t>1032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</si>
  <si>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Jack Walker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</si>
  <si>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the employee who has employee ID </t>
    </r>
    <r>
      <rPr>
        <b/>
        <sz val="11"/>
        <color theme="1"/>
        <rFont val="Calibri"/>
        <family val="2"/>
        <scheme val="minor"/>
      </rPr>
      <t>1028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</si>
  <si>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Olivia Wright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</si>
  <si>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 with employee ID </t>
    </r>
    <r>
      <rPr>
        <b/>
        <sz val="11"/>
        <color theme="1"/>
        <rFont val="Calibri"/>
        <family val="2"/>
        <scheme val="minor"/>
      </rPr>
      <t>1039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</si>
  <si>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Joining Date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Benjamin Thompson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</si>
  <si>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Performance Score</t>
    </r>
    <r>
      <rPr>
        <sz val="11"/>
        <color theme="1"/>
        <rFont val="Calibri"/>
        <family val="2"/>
        <scheme val="minor"/>
      </rPr>
      <t xml:space="preserve"> of the employee </t>
    </r>
    <r>
      <rPr>
        <b/>
        <sz val="11"/>
        <color theme="1"/>
        <rFont val="Calibri"/>
        <family val="2"/>
        <scheme val="minor"/>
      </rPr>
      <t>Zachary Hill</t>
    </r>
    <r>
      <rPr>
        <sz val="11"/>
        <color theme="1"/>
        <rFont val="Calibri"/>
        <family val="2"/>
        <scheme val="minor"/>
      </rPr>
      <t>?</t>
    </r>
  </si>
  <si>
    <t>Emp ID</t>
  </si>
  <si>
    <t>Performance score</t>
  </si>
  <si>
    <t>Benjamin Thomson</t>
  </si>
  <si>
    <t>What is the Department of employee ID 1007?</t>
  </si>
  <si>
    <t>What is the Salary of employee Daniel Martinez?</t>
  </si>
  <si>
    <t>What is the Joining Date of employee ID 1031?</t>
  </si>
  <si>
    <t>Region</t>
  </si>
  <si>
    <t>John</t>
  </si>
  <si>
    <t>North</t>
  </si>
  <si>
    <t>Alice</t>
  </si>
  <si>
    <t>South</t>
  </si>
  <si>
    <t>Find how much sales done by Marketing department?</t>
  </si>
  <si>
    <t>Bob</t>
  </si>
  <si>
    <t>East</t>
  </si>
  <si>
    <t>Find the sales where the department is "Sales" and the region is "East"?</t>
  </si>
  <si>
    <t>Emma</t>
  </si>
  <si>
    <t>West</t>
  </si>
  <si>
    <t>Find the count of how many times "Marketing" appears in the department column?</t>
  </si>
  <si>
    <t>David</t>
  </si>
  <si>
    <t>Find the count of how many employees are in the "HR" department and located in the "South" region?</t>
  </si>
  <si>
    <t>Lucy</t>
  </si>
  <si>
    <t>Count the number of departments in the organization</t>
  </si>
  <si>
    <t>Oliver</t>
  </si>
  <si>
    <t>Sophie</t>
  </si>
  <si>
    <t>sumif</t>
  </si>
  <si>
    <t>sumifs</t>
  </si>
  <si>
    <t>countif</t>
  </si>
  <si>
    <t>countifs</t>
  </si>
  <si>
    <t>Product</t>
  </si>
  <si>
    <t>Category</t>
  </si>
  <si>
    <t>Price</t>
  </si>
  <si>
    <t>Quantity Sold</t>
  </si>
  <si>
    <t>Laptop</t>
  </si>
  <si>
    <t>Electronics</t>
  </si>
  <si>
    <t>Smartphone</t>
  </si>
  <si>
    <t>Find the sum of prices of all products in the "Electronics" category?</t>
  </si>
  <si>
    <t>Tablet</t>
  </si>
  <si>
    <t>Find the sum of prices from "Electronics" products in the "South" region.</t>
  </si>
  <si>
    <t>Headphones</t>
  </si>
  <si>
    <t>Accessories</t>
  </si>
  <si>
    <t>Find the count of how many products are in the "Accessories" category.</t>
  </si>
  <si>
    <t>Keyboard</t>
  </si>
  <si>
    <t>Find the count of  how many "Electronics" products were sold in the "North" region?</t>
  </si>
  <si>
    <t>Monitor</t>
  </si>
  <si>
    <t>Mouse</t>
  </si>
  <si>
    <t>Printer</t>
  </si>
  <si>
    <t>unique</t>
  </si>
  <si>
    <t>Count the number of products</t>
  </si>
  <si>
    <t xml:space="preserve">  </t>
  </si>
  <si>
    <t>=VLOOKUP(lookup_value, table_array, col_index_num, [range_lookup])</t>
  </si>
  <si>
    <t>HLOOKUP(lookup_value, table_array, row_index_num, [range_lookup])</t>
  </si>
  <si>
    <t>count(unique())</t>
  </si>
  <si>
    <t>Information</t>
  </si>
  <si>
    <t>XLOOKUP(Lookup_value,Lookup_array,Return_Array,[If not found],[Match Mode],[Search Mode])</t>
  </si>
  <si>
    <t>Lookup_Value = The Matching value we want to look to fetch the data accordingly</t>
  </si>
  <si>
    <t>Lookup_Array = In which array we want to look for the Matching Value(Lookup_value)</t>
  </si>
  <si>
    <t>Return_Array = After finding the Matching value or Lookup Value, which value to be returned.</t>
  </si>
  <si>
    <t>[if not found] = It is optional --&gt; Here we can specify the output of the Xlookup function if not find any match according to Lookup_value (Matching value)</t>
  </si>
  <si>
    <t>[Match Mode] = this is to select the type of match mode</t>
  </si>
  <si>
    <t>[Search Mode] = This is to select the type of the search mode</t>
  </si>
  <si>
    <t>Total Sales</t>
  </si>
  <si>
    <t>sum</t>
  </si>
  <si>
    <t>SUMIF(Table1[Department],"Marketing",Table1[Sales])</t>
  </si>
  <si>
    <t>SUMIFS(Table1[Sales],Table1[Department],"Sales",Table1[Region],"East")</t>
  </si>
  <si>
    <t>SUM(Table1[Sales])</t>
  </si>
  <si>
    <t>COUNTIF(Table1[Department],"Marketing")</t>
  </si>
  <si>
    <t>COUNTIFS(Table1[Department],"HR",Table1[Region],"South")</t>
  </si>
  <si>
    <t>COUNT = This function helps you to count the numerical values only</t>
  </si>
  <si>
    <t>COUNTA = This function helps you to count the non numerical value only</t>
  </si>
  <si>
    <t>COUNTA(UNIQUE(Table1[Department]))</t>
  </si>
  <si>
    <t>Please ask if you have any doubts from the above questions</t>
  </si>
  <si>
    <t>COUNTIFS(Table2[Category],"Electronics",Table2[Region],"North")</t>
  </si>
  <si>
    <t>SUMIFS(Table2[Quantity Sold],Table2[Category],"Electronics",Table2[Region],"North")</t>
  </si>
  <si>
    <t>Count of how many "Electronics"Products were sold in the "North" Region:</t>
  </si>
  <si>
    <t>Total Quantity of the products sold in Electronics From the North Region:</t>
  </si>
  <si>
    <t>VLOOKUP(A2,V_Data!$A$2:$F$41,4,0)</t>
  </si>
  <si>
    <t>HLOOKUP(B1,H_Data!$B$1:$AO$6,4,0)</t>
  </si>
  <si>
    <t>INDEX(B1:B41,5)</t>
  </si>
  <si>
    <t>It will give you value based on Array and row number</t>
  </si>
  <si>
    <t>MATCH(I2,B1:B41,0)</t>
  </si>
  <si>
    <t>It will give you the row number or column number from the array using lookup value</t>
  </si>
  <si>
    <t>VLOOKUP(J11,$A$2:$F$41,MATCH(J12,$A$1:$F$1,0),0)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</si>
</sst>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yyyy\-mm\-dd\ hh:mm:ss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Roboto"/>
    </font>
    <font>
      <sz val="24"/>
      <color theme="1"/>
      <name val="Calibri"/>
      <family val="2"/>
      <scheme val="minor"/>
    </font>
    <font>
      <sz val="18"/>
      <color rgb="FF1E1E1E"/>
      <name val="Segoe U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64" fontId="0" fillId="0" borderId="0" xfId="0" applyNumberFormat="1" applyAlignment="1">
      <alignment vertical="center" wrapText="1"/>
    </xf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82550</xdr:rowOff>
    </xdr:from>
    <xdr:to>
      <xdr:col>5</xdr:col>
      <xdr:colOff>406400</xdr:colOff>
      <xdr:row>11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5AD52-06E3-AD7F-AD00-5A6B3059AE6C}"/>
            </a:ext>
          </a:extLst>
        </xdr:cNvPr>
        <xdr:cNvSpPr txBox="1"/>
      </xdr:nvSpPr>
      <xdr:spPr>
        <a:xfrm>
          <a:off x="381000" y="82550"/>
          <a:ext cx="886460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In Excel, INDEX and MATCH are powerful functions that work together to look up values in a table or range. It us alternative to VLOOKUP or HLOOKUP.</a:t>
          </a:r>
        </a:p>
        <a:p>
          <a:endParaRPr lang="en-US"/>
        </a:p>
        <a:p>
          <a:r>
            <a:rPr lang="en-US"/>
            <a:t>INDEX returns the value of a cell at a specified row and column in a range. </a:t>
          </a:r>
        </a:p>
        <a:p>
          <a:r>
            <a:rPr lang="en-US"/>
            <a:t>array: The range of cells you want to search.</a:t>
          </a:r>
        </a:p>
        <a:p>
          <a:r>
            <a:rPr lang="en-US"/>
            <a:t>row_num: The row number within the array.</a:t>
          </a:r>
        </a:p>
        <a:p>
          <a:r>
            <a:rPr lang="en-US"/>
            <a:t>column_num </a:t>
          </a:r>
          <a:r>
            <a:rPr lang="en-US" i="1"/>
            <a:t>(optional)</a:t>
          </a:r>
          <a:r>
            <a:rPr lang="en-US"/>
            <a:t>: The column number within the array.</a:t>
          </a:r>
        </a:p>
        <a:p>
          <a:endParaRPr lang="en-US" sz="1100"/>
        </a:p>
        <a:p>
          <a:r>
            <a:rPr lang="en-US"/>
            <a:t>MATCH returns the position of a value in a single row or column.</a:t>
          </a:r>
        </a:p>
        <a:p>
          <a:r>
            <a:rPr lang="en-US"/>
            <a:t>lookup_value: The value you want to find.</a:t>
          </a:r>
        </a:p>
        <a:p>
          <a:r>
            <a:rPr lang="en-US"/>
            <a:t>lookup_array: The range of cells to search.</a:t>
          </a:r>
        </a:p>
        <a:p>
          <a:r>
            <a:rPr lang="en-US"/>
            <a:t>match_type: 0 for an exact match, 1 for the closest smaller value, -1 for the closest larger value.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B3E42-DDD9-49AE-A55C-41E364BA3A56}" name="Table1" displayName="Table1" ref="A1:D9" totalsRowShown="0" headerRowDxfId="12" dataDxfId="11">
  <autoFilter ref="A1:D9" xr:uid="{C0EB3E42-DDD9-49AE-A55C-41E364BA3A56}"/>
  <tableColumns count="4">
    <tableColumn id="1" xr3:uid="{FE1F0848-B9A8-41E8-A7CC-C607AA793D7D}" name="Name" dataDxfId="10"/>
    <tableColumn id="2" xr3:uid="{97A1580F-EB57-43B9-BB4B-DF68CF53191E}" name="Department" dataDxfId="9"/>
    <tableColumn id="3" xr3:uid="{56C47AC5-4570-4F2F-B743-F530DA3EB4A3}" name="Sales" dataDxfId="8"/>
    <tableColumn id="4" xr3:uid="{532FF523-CB82-4AC0-88B1-202C64F8A301}" name="Region" dataDxfId="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0234F9-63F2-400D-A43E-269C4B755653}" name="Table2" displayName="Table2" ref="A1:E9" totalsRowShown="0" headerRowDxfId="6" dataDxfId="5">
  <autoFilter ref="A1:E9" xr:uid="{F40234F9-63F2-400D-A43E-269C4B755653}"/>
  <tableColumns count="5">
    <tableColumn id="1" xr3:uid="{A4846EC0-6FB3-4369-B8BB-88555F43E4CE}" name="Product" dataDxfId="4"/>
    <tableColumn id="2" xr3:uid="{D5A01E40-6A84-4E14-B493-922789CBAC06}" name="Category" dataDxfId="3"/>
    <tableColumn id="3" xr3:uid="{30F0747C-7FB4-41C0-9707-555AD0CBB2C5}" name="Price" dataDxfId="2"/>
    <tableColumn id="4" xr3:uid="{320D782E-BFFF-48D0-8F34-1AF0D1E0D4FB}" name="Quantity Sold" dataDxfId="1"/>
    <tableColumn id="5" xr3:uid="{AD3822C3-94FF-4EE3-A6CC-9CD3CECE663D}" name="Reg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65E1-4C2A-4399-82C3-330A3A28F044}">
  <dimension ref="A1:F41"/>
  <sheetViews>
    <sheetView tabSelected="1" zoomScale="102" workbookViewId="0">
      <selection activeCell="E17" sqref="E17"/>
    </sheetView>
  </sheetViews>
  <sheetFormatPr defaultRowHeight="14.4" x14ac:dyDescent="0.3"/>
  <cols>
    <col min="1" max="1" width="18.21875" bestFit="1" customWidth="1"/>
  </cols>
  <sheetData>
    <row r="1" spans="1:6" x14ac:dyDescent="0.3">
      <c r="A1" s="1" t="s">
        <v>1</v>
      </c>
      <c r="B1" t="s">
        <v>3</v>
      </c>
      <c r="C1" t="s">
        <v>60</v>
      </c>
    </row>
    <row r="2" spans="1:6" x14ac:dyDescent="0.3">
      <c r="A2" s="2" t="s">
        <v>12</v>
      </c>
    </row>
    <row r="3" spans="1:6" x14ac:dyDescent="0.3">
      <c r="A3" s="2" t="s">
        <v>13</v>
      </c>
    </row>
    <row r="4" spans="1:6" ht="25.8" x14ac:dyDescent="0.5">
      <c r="A4" s="2" t="s">
        <v>14</v>
      </c>
      <c r="F4" s="16" t="s">
        <v>113</v>
      </c>
    </row>
    <row r="5" spans="1:6" x14ac:dyDescent="0.3">
      <c r="A5" s="2" t="s">
        <v>15</v>
      </c>
    </row>
    <row r="6" spans="1:6" ht="18" x14ac:dyDescent="0.35">
      <c r="A6" s="2" t="s">
        <v>21</v>
      </c>
      <c r="D6" s="14" t="s">
        <v>114</v>
      </c>
    </row>
    <row r="7" spans="1:6" ht="18" x14ac:dyDescent="0.35">
      <c r="A7" s="2" t="s">
        <v>31</v>
      </c>
      <c r="D7" s="14" t="s">
        <v>115</v>
      </c>
    </row>
    <row r="8" spans="1:6" ht="18" x14ac:dyDescent="0.35">
      <c r="A8" s="2" t="s">
        <v>32</v>
      </c>
      <c r="D8" s="14" t="s">
        <v>116</v>
      </c>
    </row>
    <row r="9" spans="1:6" ht="18" x14ac:dyDescent="0.35">
      <c r="A9" s="2" t="s">
        <v>38</v>
      </c>
      <c r="D9" s="14" t="s">
        <v>117</v>
      </c>
    </row>
    <row r="10" spans="1:6" ht="18" x14ac:dyDescent="0.35">
      <c r="A10" s="2" t="s">
        <v>48</v>
      </c>
      <c r="D10" s="14" t="s">
        <v>118</v>
      </c>
    </row>
    <row r="11" spans="1:6" ht="18" x14ac:dyDescent="0.35">
      <c r="A11" s="2" t="s">
        <v>50</v>
      </c>
      <c r="D11" s="14" t="s">
        <v>119</v>
      </c>
    </row>
    <row r="12" spans="1:6" x14ac:dyDescent="0.3">
      <c r="A12" s="2" t="s">
        <v>17</v>
      </c>
    </row>
    <row r="13" spans="1:6" x14ac:dyDescent="0.3">
      <c r="A13" s="2" t="s">
        <v>19</v>
      </c>
    </row>
    <row r="14" spans="1:6" x14ac:dyDescent="0.3">
      <c r="A14" s="2" t="s">
        <v>25</v>
      </c>
    </row>
    <row r="15" spans="1:6" x14ac:dyDescent="0.3">
      <c r="A15" s="2" t="s">
        <v>26</v>
      </c>
    </row>
    <row r="16" spans="1:6" x14ac:dyDescent="0.3">
      <c r="A16" s="2" t="s">
        <v>33</v>
      </c>
    </row>
    <row r="17" spans="1:1" x14ac:dyDescent="0.3">
      <c r="A17" s="2" t="s">
        <v>34</v>
      </c>
    </row>
    <row r="18" spans="1:1" x14ac:dyDescent="0.3">
      <c r="A18" s="2" t="s">
        <v>35</v>
      </c>
    </row>
    <row r="19" spans="1:1" x14ac:dyDescent="0.3">
      <c r="A19" s="2" t="s">
        <v>37</v>
      </c>
    </row>
    <row r="20" spans="1:1" x14ac:dyDescent="0.3">
      <c r="A20" s="2" t="s">
        <v>41</v>
      </c>
    </row>
    <row r="21" spans="1:1" x14ac:dyDescent="0.3">
      <c r="A21" s="2" t="s">
        <v>44</v>
      </c>
    </row>
    <row r="22" spans="1:1" x14ac:dyDescent="0.3">
      <c r="A22" s="2" t="s">
        <v>45</v>
      </c>
    </row>
    <row r="23" spans="1:1" x14ac:dyDescent="0.3">
      <c r="A23" s="2" t="s">
        <v>11</v>
      </c>
    </row>
    <row r="24" spans="1:1" x14ac:dyDescent="0.3">
      <c r="A24" s="2" t="s">
        <v>16</v>
      </c>
    </row>
    <row r="25" spans="1:1" x14ac:dyDescent="0.3">
      <c r="A25" s="2" t="s">
        <v>23</v>
      </c>
    </row>
    <row r="26" spans="1:1" x14ac:dyDescent="0.3">
      <c r="A26" s="2" t="s">
        <v>28</v>
      </c>
    </row>
    <row r="27" spans="1:1" x14ac:dyDescent="0.3">
      <c r="A27" s="2" t="s">
        <v>29</v>
      </c>
    </row>
    <row r="28" spans="1:1" x14ac:dyDescent="0.3">
      <c r="A28" s="2" t="s">
        <v>30</v>
      </c>
    </row>
    <row r="29" spans="1:1" x14ac:dyDescent="0.3">
      <c r="A29" s="2" t="s">
        <v>36</v>
      </c>
    </row>
    <row r="30" spans="1:1" x14ac:dyDescent="0.3">
      <c r="A30" s="2" t="s">
        <v>42</v>
      </c>
    </row>
    <row r="31" spans="1:1" x14ac:dyDescent="0.3">
      <c r="A31" s="2" t="s">
        <v>43</v>
      </c>
    </row>
    <row r="32" spans="1:1" x14ac:dyDescent="0.3">
      <c r="A32" s="2" t="s">
        <v>46</v>
      </c>
    </row>
    <row r="33" spans="1:1" x14ac:dyDescent="0.3">
      <c r="A33" s="2" t="s">
        <v>49</v>
      </c>
    </row>
    <row r="34" spans="1:1" x14ac:dyDescent="0.3">
      <c r="A34" s="2" t="s">
        <v>18</v>
      </c>
    </row>
    <row r="35" spans="1:1" x14ac:dyDescent="0.3">
      <c r="A35" s="2" t="s">
        <v>20</v>
      </c>
    </row>
    <row r="36" spans="1:1" x14ac:dyDescent="0.3">
      <c r="A36" s="2" t="s">
        <v>27</v>
      </c>
    </row>
    <row r="37" spans="1:1" x14ac:dyDescent="0.3">
      <c r="A37" s="2" t="s">
        <v>22</v>
      </c>
    </row>
    <row r="38" spans="1:1" x14ac:dyDescent="0.3">
      <c r="A38" s="2" t="s">
        <v>24</v>
      </c>
    </row>
    <row r="39" spans="1:1" x14ac:dyDescent="0.3">
      <c r="A39" s="2" t="s">
        <v>39</v>
      </c>
    </row>
    <row r="40" spans="1:1" x14ac:dyDescent="0.3">
      <c r="A40" s="2" t="s">
        <v>40</v>
      </c>
    </row>
    <row r="41" spans="1:1" x14ac:dyDescent="0.3">
      <c r="A41" s="2" t="s">
        <v>47</v>
      </c>
    </row>
  </sheetData>
  <sortState xmlns:xlrd2="http://schemas.microsoft.com/office/spreadsheetml/2017/richdata2" ref="A2:E41">
    <sortCondition descending="1" ref="E2:E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>
      <selection activeCell="F14" sqref="F14"/>
    </sheetView>
  </sheetViews>
  <sheetFormatPr defaultRowHeight="14.4" x14ac:dyDescent="0.3"/>
  <cols>
    <col min="1" max="1" width="11.5546875" bestFit="1" customWidth="1"/>
    <col min="2" max="2" width="17.77734375" bestFit="1" customWidth="1"/>
    <col min="3" max="3" width="11.109375" bestFit="1" customWidth="1"/>
    <col min="4" max="4" width="6.109375" bestFit="1" customWidth="1"/>
    <col min="5" max="5" width="18.109375" bestFit="1" customWidth="1"/>
    <col min="6" max="6" width="17.21875" bestFit="1" customWidth="1"/>
    <col min="8" max="8" width="6.21875" bestFit="1" customWidth="1"/>
    <col min="9" max="9" width="29.77734375" customWidth="1"/>
    <col min="10" max="10" width="18.44140625" customWidth="1"/>
    <col min="11" max="11" width="14.109375" customWidth="1"/>
    <col min="12" max="13" width="13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3">
      <c r="A2" s="2">
        <v>1001</v>
      </c>
      <c r="B2" s="2" t="s">
        <v>11</v>
      </c>
      <c r="C2" s="2" t="s">
        <v>6</v>
      </c>
      <c r="D2" s="2">
        <v>50627</v>
      </c>
      <c r="E2" s="3">
        <v>42035</v>
      </c>
      <c r="F2" s="2">
        <v>8</v>
      </c>
      <c r="I2" t="str">
        <f>INDEX(B1:B41,5)</f>
        <v>Daniel Martinez</v>
      </c>
    </row>
    <row r="3" spans="1:13" ht="18" x14ac:dyDescent="0.35">
      <c r="A3" s="2">
        <v>1002</v>
      </c>
      <c r="B3" s="2" t="s">
        <v>12</v>
      </c>
      <c r="C3" s="2" t="s">
        <v>7</v>
      </c>
      <c r="D3" s="2">
        <v>48792</v>
      </c>
      <c r="E3" s="3">
        <v>42063</v>
      </c>
      <c r="F3" s="2">
        <v>5</v>
      </c>
      <c r="I3" s="14" t="s">
        <v>137</v>
      </c>
    </row>
    <row r="4" spans="1:13" ht="21" x14ac:dyDescent="0.4">
      <c r="A4" s="2">
        <v>1003</v>
      </c>
      <c r="B4" s="2" t="s">
        <v>13</v>
      </c>
      <c r="C4" s="2" t="s">
        <v>8</v>
      </c>
      <c r="D4" s="2">
        <v>83323</v>
      </c>
      <c r="E4" s="3">
        <v>42094</v>
      </c>
      <c r="F4" s="2">
        <v>2</v>
      </c>
      <c r="J4" s="18" t="s">
        <v>138</v>
      </c>
      <c r="M4" s="11"/>
    </row>
    <row r="5" spans="1:13" x14ac:dyDescent="0.3">
      <c r="A5" s="2">
        <v>1004</v>
      </c>
      <c r="B5" s="2" t="s">
        <v>14</v>
      </c>
      <c r="C5" s="2" t="s">
        <v>7</v>
      </c>
      <c r="D5" s="2">
        <v>83021</v>
      </c>
      <c r="E5" s="3">
        <v>42124</v>
      </c>
      <c r="F5" s="2">
        <v>5</v>
      </c>
    </row>
    <row r="6" spans="1:13" x14ac:dyDescent="0.3">
      <c r="A6" s="2">
        <v>1005</v>
      </c>
      <c r="B6" s="2" t="s">
        <v>15</v>
      </c>
      <c r="C6" s="2" t="s">
        <v>7</v>
      </c>
      <c r="D6" s="2">
        <v>48433</v>
      </c>
      <c r="E6" s="3">
        <v>42155</v>
      </c>
      <c r="F6" s="2">
        <v>8</v>
      </c>
      <c r="I6">
        <f>MATCH(I2,B1:B41,0)</f>
        <v>5</v>
      </c>
      <c r="J6" s="11"/>
    </row>
    <row r="7" spans="1:13" ht="18" x14ac:dyDescent="0.35">
      <c r="A7" s="2">
        <v>1006</v>
      </c>
      <c r="B7" s="2" t="s">
        <v>16</v>
      </c>
      <c r="C7" s="2" t="s">
        <v>9</v>
      </c>
      <c r="D7" s="2">
        <v>83001</v>
      </c>
      <c r="E7" s="3">
        <v>42185</v>
      </c>
      <c r="F7" s="2">
        <v>9</v>
      </c>
      <c r="I7" s="14" t="s">
        <v>139</v>
      </c>
    </row>
    <row r="8" spans="1:13" ht="21" x14ac:dyDescent="0.4">
      <c r="A8" s="2">
        <v>1007</v>
      </c>
      <c r="B8" s="2" t="s">
        <v>17</v>
      </c>
      <c r="C8" s="2" t="s">
        <v>8</v>
      </c>
      <c r="D8" s="2">
        <v>51016</v>
      </c>
      <c r="E8" s="3">
        <v>42216</v>
      </c>
      <c r="F8" s="2">
        <v>9</v>
      </c>
      <c r="J8" s="18" t="s">
        <v>140</v>
      </c>
    </row>
    <row r="9" spans="1:13" x14ac:dyDescent="0.3">
      <c r="A9" s="2">
        <v>1008</v>
      </c>
      <c r="B9" s="2" t="s">
        <v>18</v>
      </c>
      <c r="C9" s="2" t="s">
        <v>8</v>
      </c>
      <c r="D9" s="2">
        <v>63897</v>
      </c>
      <c r="E9" s="3">
        <v>42247</v>
      </c>
      <c r="F9" s="2">
        <v>1</v>
      </c>
    </row>
    <row r="10" spans="1:13" x14ac:dyDescent="0.3">
      <c r="A10" s="2">
        <v>1009</v>
      </c>
      <c r="B10" s="2" t="s">
        <v>19</v>
      </c>
      <c r="C10" s="2" t="s">
        <v>8</v>
      </c>
      <c r="D10" s="2">
        <v>42612</v>
      </c>
      <c r="E10" s="3">
        <v>42277</v>
      </c>
      <c r="F10" s="2">
        <v>9</v>
      </c>
    </row>
    <row r="11" spans="1:13" x14ac:dyDescent="0.3">
      <c r="A11" s="2">
        <v>1010</v>
      </c>
      <c r="B11" s="2" t="s">
        <v>20</v>
      </c>
      <c r="C11" s="2" t="s">
        <v>7</v>
      </c>
      <c r="D11" s="2">
        <v>63483</v>
      </c>
      <c r="E11" s="3">
        <v>42308</v>
      </c>
      <c r="F11" s="2">
        <v>7</v>
      </c>
      <c r="I11" t="s">
        <v>0</v>
      </c>
      <c r="J11">
        <v>1030</v>
      </c>
      <c r="M11" s="11"/>
    </row>
    <row r="12" spans="1:13" x14ac:dyDescent="0.3">
      <c r="A12" s="2">
        <v>1011</v>
      </c>
      <c r="B12" s="2" t="s">
        <v>21</v>
      </c>
      <c r="C12" s="2" t="s">
        <v>6</v>
      </c>
      <c r="D12" s="2">
        <v>88555</v>
      </c>
      <c r="E12" s="3">
        <v>42338</v>
      </c>
      <c r="F12" s="2">
        <v>9</v>
      </c>
      <c r="I12" t="s">
        <v>112</v>
      </c>
      <c r="J12" t="s">
        <v>2</v>
      </c>
      <c r="K12" s="11"/>
    </row>
    <row r="13" spans="1:13" x14ac:dyDescent="0.3">
      <c r="A13" s="2">
        <v>1012</v>
      </c>
      <c r="B13" s="2" t="s">
        <v>22</v>
      </c>
      <c r="C13" s="2" t="s">
        <v>8</v>
      </c>
      <c r="D13" s="2">
        <v>57159</v>
      </c>
      <c r="E13" s="3">
        <v>42369</v>
      </c>
      <c r="F13" s="2">
        <v>8</v>
      </c>
      <c r="I13" t="str">
        <f>_xlfn.CONCAT(J12," of the employee ",J11)</f>
        <v>Department of the employee 1030</v>
      </c>
      <c r="J13" t="str">
        <f>VLOOKUP(J11,$A$2:$F$41,MATCH(J12,$A$1:$F$1,0),0)</f>
        <v>Marketing</v>
      </c>
    </row>
    <row r="14" spans="1:13" ht="21" x14ac:dyDescent="0.4">
      <c r="A14" s="2">
        <v>1013</v>
      </c>
      <c r="B14" s="2" t="s">
        <v>23</v>
      </c>
      <c r="C14" s="2" t="s">
        <v>7</v>
      </c>
      <c r="D14" s="2">
        <v>84974</v>
      </c>
      <c r="E14" s="3">
        <v>42400</v>
      </c>
      <c r="F14" s="2">
        <v>1</v>
      </c>
      <c r="J14" s="18" t="s">
        <v>141</v>
      </c>
    </row>
    <row r="15" spans="1:13" x14ac:dyDescent="0.3">
      <c r="A15" s="2">
        <v>1014</v>
      </c>
      <c r="B15" s="2" t="s">
        <v>24</v>
      </c>
      <c r="C15" s="2" t="s">
        <v>9</v>
      </c>
      <c r="D15" s="2">
        <v>80994</v>
      </c>
      <c r="E15" s="3">
        <v>42429</v>
      </c>
      <c r="F15" s="2">
        <v>8</v>
      </c>
    </row>
    <row r="16" spans="1:13" x14ac:dyDescent="0.3">
      <c r="A16" s="2">
        <v>1015</v>
      </c>
      <c r="B16" s="2" t="s">
        <v>25</v>
      </c>
      <c r="C16" s="2" t="s">
        <v>6</v>
      </c>
      <c r="D16" s="2">
        <v>54541</v>
      </c>
      <c r="E16" s="3">
        <v>42460</v>
      </c>
      <c r="F16" s="2">
        <v>8</v>
      </c>
    </row>
    <row r="17" spans="1:9" x14ac:dyDescent="0.3">
      <c r="A17" s="2">
        <v>1016</v>
      </c>
      <c r="B17" s="2" t="s">
        <v>26</v>
      </c>
      <c r="C17" s="2" t="s">
        <v>9</v>
      </c>
      <c r="D17" s="2">
        <v>75920</v>
      </c>
      <c r="E17" s="3">
        <v>42490</v>
      </c>
      <c r="F17" s="2">
        <v>3</v>
      </c>
      <c r="I17">
        <f>MATCH(J12,$A$1:$F$1,0)</f>
        <v>3</v>
      </c>
    </row>
    <row r="18" spans="1:9" x14ac:dyDescent="0.3">
      <c r="A18" s="2">
        <v>1017</v>
      </c>
      <c r="B18" s="2" t="s">
        <v>27</v>
      </c>
      <c r="C18" s="2" t="s">
        <v>6</v>
      </c>
      <c r="D18" s="2">
        <v>66531</v>
      </c>
      <c r="E18" s="3">
        <v>42521</v>
      </c>
      <c r="F18" s="2">
        <v>1</v>
      </c>
      <c r="I18" s="11"/>
    </row>
    <row r="19" spans="1:9" x14ac:dyDescent="0.3">
      <c r="A19" s="2">
        <v>1018</v>
      </c>
      <c r="B19" s="2" t="s">
        <v>28</v>
      </c>
      <c r="C19" s="2" t="s">
        <v>7</v>
      </c>
      <c r="D19" s="2">
        <v>41585</v>
      </c>
      <c r="E19" s="3">
        <v>42551</v>
      </c>
      <c r="F19" s="2">
        <v>8</v>
      </c>
      <c r="I19" s="11"/>
    </row>
    <row r="20" spans="1:9" x14ac:dyDescent="0.3">
      <c r="A20" s="2">
        <v>1019</v>
      </c>
      <c r="B20" s="2" t="s">
        <v>29</v>
      </c>
      <c r="C20" s="2" t="s">
        <v>10</v>
      </c>
      <c r="D20" s="2">
        <v>43943</v>
      </c>
      <c r="E20" s="3">
        <v>42582</v>
      </c>
      <c r="F20" s="2">
        <v>3</v>
      </c>
    </row>
    <row r="21" spans="1:9" x14ac:dyDescent="0.3">
      <c r="A21" s="2">
        <v>1020</v>
      </c>
      <c r="B21" s="2" t="s">
        <v>30</v>
      </c>
      <c r="C21" s="2" t="s">
        <v>6</v>
      </c>
      <c r="D21" s="2">
        <v>63939</v>
      </c>
      <c r="E21" s="3">
        <v>42613</v>
      </c>
      <c r="F21" s="2">
        <v>3</v>
      </c>
    </row>
    <row r="22" spans="1:9" x14ac:dyDescent="0.3">
      <c r="A22" s="2">
        <v>1021</v>
      </c>
      <c r="B22" s="2" t="s">
        <v>31</v>
      </c>
      <c r="C22" s="2" t="s">
        <v>9</v>
      </c>
      <c r="D22" s="2">
        <v>59457</v>
      </c>
      <c r="E22" s="3">
        <v>42643</v>
      </c>
      <c r="F22" s="2">
        <v>1</v>
      </c>
      <c r="I22" s="11"/>
    </row>
    <row r="23" spans="1:9" x14ac:dyDescent="0.3">
      <c r="A23" s="2">
        <v>1022</v>
      </c>
      <c r="B23" s="2" t="s">
        <v>32</v>
      </c>
      <c r="C23" s="2" t="s">
        <v>7</v>
      </c>
      <c r="D23" s="2">
        <v>41021</v>
      </c>
      <c r="E23" s="3">
        <v>42674</v>
      </c>
      <c r="F23" s="2">
        <v>5</v>
      </c>
      <c r="I23" s="11"/>
    </row>
    <row r="24" spans="1:9" x14ac:dyDescent="0.3">
      <c r="A24" s="2">
        <v>1023</v>
      </c>
      <c r="B24" s="2" t="s">
        <v>33</v>
      </c>
      <c r="C24" s="2" t="s">
        <v>6</v>
      </c>
      <c r="D24" s="2">
        <v>51653</v>
      </c>
      <c r="E24" s="3">
        <v>42704</v>
      </c>
      <c r="F24" s="2">
        <v>7</v>
      </c>
    </row>
    <row r="25" spans="1:9" x14ac:dyDescent="0.3">
      <c r="A25" s="2">
        <v>1024</v>
      </c>
      <c r="B25" s="2" t="s">
        <v>34</v>
      </c>
      <c r="C25" s="2" t="s">
        <v>10</v>
      </c>
      <c r="D25" s="2">
        <v>83573</v>
      </c>
      <c r="E25" s="3">
        <v>42735</v>
      </c>
      <c r="F25" s="2">
        <v>9</v>
      </c>
    </row>
    <row r="26" spans="1:9" x14ac:dyDescent="0.3">
      <c r="A26" s="2">
        <v>1025</v>
      </c>
      <c r="B26" s="2" t="s">
        <v>35</v>
      </c>
      <c r="C26" s="2" t="s">
        <v>10</v>
      </c>
      <c r="D26" s="2">
        <v>53417</v>
      </c>
      <c r="E26" s="3">
        <v>42766</v>
      </c>
      <c r="F26" s="2">
        <v>7</v>
      </c>
    </row>
    <row r="27" spans="1:9" x14ac:dyDescent="0.3">
      <c r="A27" s="2">
        <v>1026</v>
      </c>
      <c r="B27" s="2" t="s">
        <v>36</v>
      </c>
      <c r="C27" s="2" t="s">
        <v>8</v>
      </c>
      <c r="D27" s="2">
        <v>80757</v>
      </c>
      <c r="E27" s="3">
        <v>42794</v>
      </c>
      <c r="F27" s="2">
        <v>9</v>
      </c>
    </row>
    <row r="28" spans="1:9" x14ac:dyDescent="0.3">
      <c r="A28" s="2">
        <v>1027</v>
      </c>
      <c r="B28" s="2" t="s">
        <v>37</v>
      </c>
      <c r="C28" s="2" t="s">
        <v>8</v>
      </c>
      <c r="D28" s="2">
        <v>49692</v>
      </c>
      <c r="E28" s="3">
        <v>42825</v>
      </c>
      <c r="F28" s="2">
        <v>8</v>
      </c>
    </row>
    <row r="29" spans="1:9" x14ac:dyDescent="0.3">
      <c r="A29" s="2">
        <v>1028</v>
      </c>
      <c r="B29" s="2" t="s">
        <v>38</v>
      </c>
      <c r="C29" s="2" t="s">
        <v>9</v>
      </c>
      <c r="D29" s="2">
        <v>85758</v>
      </c>
      <c r="E29" s="3">
        <v>42855</v>
      </c>
      <c r="F29" s="2">
        <v>2</v>
      </c>
    </row>
    <row r="30" spans="1:9" x14ac:dyDescent="0.3">
      <c r="A30" s="2">
        <v>1029</v>
      </c>
      <c r="B30" s="2" t="s">
        <v>39</v>
      </c>
      <c r="C30" s="2" t="s">
        <v>6</v>
      </c>
      <c r="D30" s="2">
        <v>46873</v>
      </c>
      <c r="E30" s="3">
        <v>42886</v>
      </c>
      <c r="F30" s="2">
        <v>1</v>
      </c>
    </row>
    <row r="31" spans="1:9" x14ac:dyDescent="0.3">
      <c r="A31" s="10">
        <v>1030</v>
      </c>
      <c r="B31" s="2" t="s">
        <v>40</v>
      </c>
      <c r="C31" s="2" t="s">
        <v>6</v>
      </c>
      <c r="D31" s="10">
        <v>45675</v>
      </c>
      <c r="E31" s="3">
        <v>42916</v>
      </c>
      <c r="F31" s="2">
        <v>7</v>
      </c>
    </row>
    <row r="32" spans="1:9" x14ac:dyDescent="0.3">
      <c r="A32" s="2">
        <v>1031</v>
      </c>
      <c r="B32" s="2" t="s">
        <v>41</v>
      </c>
      <c r="C32" s="2" t="s">
        <v>8</v>
      </c>
      <c r="D32" s="2">
        <v>40161</v>
      </c>
      <c r="E32" s="3">
        <v>42947</v>
      </c>
      <c r="F32" s="2">
        <v>7</v>
      </c>
    </row>
    <row r="33" spans="1:6" x14ac:dyDescent="0.3">
      <c r="A33" s="2">
        <v>1032</v>
      </c>
      <c r="B33" s="2" t="s">
        <v>42</v>
      </c>
      <c r="C33" s="2" t="s">
        <v>6</v>
      </c>
      <c r="D33" s="2">
        <v>77065</v>
      </c>
      <c r="E33" s="3">
        <v>42978</v>
      </c>
      <c r="F33" s="2">
        <v>8</v>
      </c>
    </row>
    <row r="34" spans="1:6" x14ac:dyDescent="0.3">
      <c r="A34" s="2">
        <v>1033</v>
      </c>
      <c r="B34" s="2" t="s">
        <v>43</v>
      </c>
      <c r="C34" s="2" t="s">
        <v>6</v>
      </c>
      <c r="D34" s="2">
        <v>66557</v>
      </c>
      <c r="E34" s="3">
        <v>43008</v>
      </c>
      <c r="F34" s="2">
        <v>5</v>
      </c>
    </row>
    <row r="35" spans="1:6" x14ac:dyDescent="0.3">
      <c r="A35" s="2">
        <v>1034</v>
      </c>
      <c r="B35" s="2" t="s">
        <v>44</v>
      </c>
      <c r="C35" s="2" t="s">
        <v>10</v>
      </c>
      <c r="D35" s="2">
        <v>73763</v>
      </c>
      <c r="E35" s="3">
        <v>43039</v>
      </c>
      <c r="F35" s="2">
        <v>3</v>
      </c>
    </row>
    <row r="36" spans="1:6" x14ac:dyDescent="0.3">
      <c r="A36" s="2">
        <v>1035</v>
      </c>
      <c r="B36" s="2" t="s">
        <v>45</v>
      </c>
      <c r="C36" s="2" t="s">
        <v>8</v>
      </c>
      <c r="D36" s="2">
        <v>72606</v>
      </c>
      <c r="E36" s="3">
        <v>43069</v>
      </c>
      <c r="F36" s="2">
        <v>8</v>
      </c>
    </row>
    <row r="37" spans="1:6" x14ac:dyDescent="0.3">
      <c r="A37" s="2">
        <v>1036</v>
      </c>
      <c r="B37" s="2" t="s">
        <v>46</v>
      </c>
      <c r="C37" s="2" t="s">
        <v>7</v>
      </c>
      <c r="D37" s="2">
        <v>51534</v>
      </c>
      <c r="E37" s="3">
        <v>43100</v>
      </c>
      <c r="F37" s="2">
        <v>6</v>
      </c>
    </row>
    <row r="38" spans="1:6" x14ac:dyDescent="0.3">
      <c r="A38" s="2">
        <v>1037</v>
      </c>
      <c r="B38" s="2" t="s">
        <v>47</v>
      </c>
      <c r="C38" s="2" t="s">
        <v>8</v>
      </c>
      <c r="D38" s="2">
        <v>69127</v>
      </c>
      <c r="E38" s="3">
        <v>43131</v>
      </c>
      <c r="F38" s="2">
        <v>3</v>
      </c>
    </row>
    <row r="39" spans="1:6" x14ac:dyDescent="0.3">
      <c r="A39" s="2">
        <v>1038</v>
      </c>
      <c r="B39" s="2" t="s">
        <v>48</v>
      </c>
      <c r="C39" s="2" t="s">
        <v>7</v>
      </c>
      <c r="D39" s="2">
        <v>80397</v>
      </c>
      <c r="E39" s="3">
        <v>43159</v>
      </c>
      <c r="F39" s="2">
        <v>1</v>
      </c>
    </row>
    <row r="40" spans="1:6" x14ac:dyDescent="0.3">
      <c r="A40" s="2">
        <v>1039</v>
      </c>
      <c r="B40" s="2" t="s">
        <v>49</v>
      </c>
      <c r="C40" s="2" t="s">
        <v>10</v>
      </c>
      <c r="D40" s="2">
        <v>65851</v>
      </c>
      <c r="E40" s="3">
        <v>43190</v>
      </c>
      <c r="F40" s="2">
        <v>3</v>
      </c>
    </row>
    <row r="41" spans="1:6" x14ac:dyDescent="0.3">
      <c r="A41" s="2">
        <v>1040</v>
      </c>
      <c r="B41" s="2" t="s">
        <v>50</v>
      </c>
      <c r="C41" s="2" t="s">
        <v>9</v>
      </c>
      <c r="D41" s="2">
        <v>41016</v>
      </c>
      <c r="E41" s="3">
        <v>43220</v>
      </c>
      <c r="F41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7E84-340B-41FA-B892-1C0C58DCC50B}">
  <dimension ref="A1:F11"/>
  <sheetViews>
    <sheetView workbookViewId="0">
      <selection activeCell="F20" sqref="F20"/>
    </sheetView>
  </sheetViews>
  <sheetFormatPr defaultRowHeight="14.4" x14ac:dyDescent="0.3"/>
  <cols>
    <col min="3" max="3" width="23.21875" customWidth="1"/>
  </cols>
  <sheetData>
    <row r="1" spans="1:6" x14ac:dyDescent="0.3">
      <c r="A1" t="s">
        <v>60</v>
      </c>
      <c r="B1" t="s">
        <v>3</v>
      </c>
      <c r="C1" t="s">
        <v>5</v>
      </c>
    </row>
    <row r="2" spans="1:6" ht="31.2" x14ac:dyDescent="0.6">
      <c r="A2" s="2">
        <v>1030</v>
      </c>
      <c r="F2" s="12" t="s">
        <v>109</v>
      </c>
    </row>
    <row r="3" spans="1:6" x14ac:dyDescent="0.3">
      <c r="A3" s="2">
        <v>1001</v>
      </c>
    </row>
    <row r="4" spans="1:6" x14ac:dyDescent="0.3">
      <c r="A4" s="2">
        <v>1015</v>
      </c>
    </row>
    <row r="5" spans="1:6" ht="21" x14ac:dyDescent="0.4">
      <c r="A5">
        <v>1040</v>
      </c>
      <c r="F5" s="19" t="s">
        <v>3</v>
      </c>
    </row>
    <row r="6" spans="1:6" ht="21" x14ac:dyDescent="0.4">
      <c r="A6">
        <v>1006</v>
      </c>
      <c r="F6" s="18" t="s">
        <v>135</v>
      </c>
    </row>
    <row r="7" spans="1:6" x14ac:dyDescent="0.3">
      <c r="A7">
        <v>1028</v>
      </c>
    </row>
    <row r="8" spans="1:6" x14ac:dyDescent="0.3">
      <c r="A8">
        <v>1031</v>
      </c>
    </row>
    <row r="9" spans="1:6" x14ac:dyDescent="0.3">
      <c r="A9">
        <v>1007</v>
      </c>
    </row>
    <row r="10" spans="1:6" x14ac:dyDescent="0.3">
      <c r="A10">
        <v>1019</v>
      </c>
      <c r="E10" t="s">
        <v>108</v>
      </c>
    </row>
    <row r="11" spans="1:6" x14ac:dyDescent="0.3">
      <c r="A11">
        <v>1022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F25E-43D1-4388-AB50-0328F21AFDA8}">
  <dimension ref="A1:AO6"/>
  <sheetViews>
    <sheetView workbookViewId="0">
      <selection activeCell="D18" sqref="D18"/>
    </sheetView>
  </sheetViews>
  <sheetFormatPr defaultRowHeight="14.4" x14ac:dyDescent="0.3"/>
  <cols>
    <col min="1" max="1" width="17.21875" style="11" bestFit="1" customWidth="1"/>
    <col min="2" max="2" width="10.44140625" bestFit="1" customWidth="1"/>
    <col min="3" max="3" width="17.77734375" bestFit="1" customWidth="1"/>
    <col min="4" max="4" width="14.77734375" bestFit="1" customWidth="1"/>
    <col min="5" max="6" width="13.88671875" bestFit="1" customWidth="1"/>
    <col min="7" max="7" width="10.6640625" bestFit="1" customWidth="1"/>
    <col min="8" max="8" width="12.88671875" bestFit="1" customWidth="1"/>
    <col min="9" max="10" width="10.77734375" bestFit="1" customWidth="1"/>
    <col min="11" max="11" width="10.6640625" bestFit="1" customWidth="1"/>
    <col min="12" max="12" width="14.33203125" bestFit="1" customWidth="1"/>
    <col min="13" max="13" width="9.33203125" bestFit="1" customWidth="1"/>
    <col min="14" max="14" width="11.77734375" bestFit="1" customWidth="1"/>
    <col min="15" max="15" width="10.109375" bestFit="1" customWidth="1"/>
    <col min="16" max="16" width="11.44140625" bestFit="1" customWidth="1"/>
    <col min="17" max="17" width="12.44140625" bestFit="1" customWidth="1"/>
    <col min="18" max="18" width="10.88671875" bestFit="1" customWidth="1"/>
    <col min="19" max="19" width="11.5546875" bestFit="1" customWidth="1"/>
    <col min="20" max="20" width="11.77734375" bestFit="1" customWidth="1"/>
    <col min="21" max="21" width="10.6640625" bestFit="1" customWidth="1"/>
    <col min="22" max="22" width="12.77734375" bestFit="1" customWidth="1"/>
    <col min="23" max="23" width="12.6640625" bestFit="1" customWidth="1"/>
    <col min="24" max="24" width="12.44140625" bestFit="1" customWidth="1"/>
    <col min="25" max="25" width="12.109375" bestFit="1" customWidth="1"/>
    <col min="26" max="26" width="13.6640625" bestFit="1" customWidth="1"/>
    <col min="27" max="27" width="10.33203125" bestFit="1" customWidth="1"/>
    <col min="28" max="28" width="13.109375" bestFit="1" customWidth="1"/>
    <col min="29" max="29" width="14.6640625" bestFit="1" customWidth="1"/>
    <col min="30" max="30" width="10.21875" bestFit="1" customWidth="1"/>
    <col min="31" max="31" width="9.21875" bestFit="1" customWidth="1"/>
    <col min="32" max="32" width="13.21875" bestFit="1" customWidth="1"/>
    <col min="33" max="33" width="10.77734375" bestFit="1" customWidth="1"/>
    <col min="34" max="34" width="11.6640625" bestFit="1" customWidth="1"/>
    <col min="35" max="35" width="12.5546875" bestFit="1" customWidth="1"/>
    <col min="36" max="36" width="13.109375" bestFit="1" customWidth="1"/>
    <col min="37" max="37" width="9.88671875" bestFit="1" customWidth="1"/>
    <col min="38" max="38" width="9.5546875" bestFit="1" customWidth="1"/>
    <col min="39" max="39" width="12.5546875" bestFit="1" customWidth="1"/>
    <col min="40" max="40" width="12.109375" bestFit="1" customWidth="1"/>
    <col min="41" max="41" width="12.5546875" bestFit="1" customWidth="1"/>
  </cols>
  <sheetData>
    <row r="1" spans="1:41" x14ac:dyDescent="0.3">
      <c r="A1" s="1" t="s">
        <v>0</v>
      </c>
      <c r="B1" s="2">
        <v>1001</v>
      </c>
      <c r="C1" s="2">
        <v>1002</v>
      </c>
      <c r="D1" s="2">
        <v>1003</v>
      </c>
      <c r="E1" s="2">
        <v>1004</v>
      </c>
      <c r="F1" s="2">
        <v>1005</v>
      </c>
      <c r="G1" s="2">
        <v>1006</v>
      </c>
      <c r="H1" s="2">
        <v>1007</v>
      </c>
      <c r="I1" s="2">
        <v>1008</v>
      </c>
      <c r="J1" s="2">
        <v>1009</v>
      </c>
      <c r="K1" s="2">
        <v>1010</v>
      </c>
      <c r="L1" s="2">
        <v>1011</v>
      </c>
      <c r="M1" s="2">
        <v>1012</v>
      </c>
      <c r="N1" s="2">
        <v>1013</v>
      </c>
      <c r="O1" s="2">
        <v>1014</v>
      </c>
      <c r="P1" s="2">
        <v>1015</v>
      </c>
      <c r="Q1" s="2">
        <v>1016</v>
      </c>
      <c r="R1" s="2">
        <v>1017</v>
      </c>
      <c r="S1" s="2">
        <v>1018</v>
      </c>
      <c r="T1" s="2">
        <v>1019</v>
      </c>
      <c r="U1" s="2">
        <v>1020</v>
      </c>
      <c r="V1" s="2">
        <v>1021</v>
      </c>
      <c r="W1" s="2">
        <v>1022</v>
      </c>
      <c r="X1" s="2">
        <v>1023</v>
      </c>
      <c r="Y1" s="2">
        <v>1024</v>
      </c>
      <c r="Z1" s="2">
        <v>1025</v>
      </c>
      <c r="AA1" s="2">
        <v>1026</v>
      </c>
      <c r="AB1" s="2">
        <v>1027</v>
      </c>
      <c r="AC1" s="2">
        <v>1028</v>
      </c>
      <c r="AD1" s="2">
        <v>1029</v>
      </c>
      <c r="AE1" s="2">
        <v>1030</v>
      </c>
      <c r="AF1" s="2">
        <v>1031</v>
      </c>
      <c r="AG1" s="2">
        <v>1032</v>
      </c>
      <c r="AH1" s="2">
        <v>1033</v>
      </c>
      <c r="AI1" s="2">
        <v>1034</v>
      </c>
      <c r="AJ1" s="2">
        <v>1035</v>
      </c>
      <c r="AK1" s="2">
        <v>1036</v>
      </c>
      <c r="AL1" s="2">
        <v>1037</v>
      </c>
      <c r="AM1" s="2">
        <v>1038</v>
      </c>
      <c r="AN1" s="2">
        <v>1039</v>
      </c>
      <c r="AO1" s="2">
        <v>1040</v>
      </c>
    </row>
    <row r="2" spans="1:41" x14ac:dyDescent="0.3">
      <c r="A2" s="10" t="s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2" t="s">
        <v>46</v>
      </c>
      <c r="AL2" s="2" t="s">
        <v>47</v>
      </c>
      <c r="AM2" s="2" t="s">
        <v>48</v>
      </c>
      <c r="AN2" s="2" t="s">
        <v>49</v>
      </c>
      <c r="AO2" s="2" t="s">
        <v>50</v>
      </c>
    </row>
    <row r="3" spans="1:41" x14ac:dyDescent="0.3">
      <c r="A3" s="10" t="s">
        <v>2</v>
      </c>
      <c r="B3" s="2" t="s">
        <v>6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9</v>
      </c>
      <c r="H3" s="2" t="s">
        <v>8</v>
      </c>
      <c r="I3" s="2" t="s">
        <v>8</v>
      </c>
      <c r="J3" s="2" t="s">
        <v>8</v>
      </c>
      <c r="K3" s="2" t="s">
        <v>7</v>
      </c>
      <c r="L3" s="2" t="s">
        <v>6</v>
      </c>
      <c r="M3" s="2" t="s">
        <v>8</v>
      </c>
      <c r="N3" s="2" t="s">
        <v>7</v>
      </c>
      <c r="O3" s="2" t="s">
        <v>9</v>
      </c>
      <c r="P3" s="2" t="s">
        <v>6</v>
      </c>
      <c r="Q3" s="2" t="s">
        <v>9</v>
      </c>
      <c r="R3" s="2" t="s">
        <v>6</v>
      </c>
      <c r="S3" s="2" t="s">
        <v>7</v>
      </c>
      <c r="T3" s="2" t="s">
        <v>10</v>
      </c>
      <c r="U3" s="2" t="s">
        <v>6</v>
      </c>
      <c r="V3" s="2" t="s">
        <v>9</v>
      </c>
      <c r="W3" s="2" t="s">
        <v>7</v>
      </c>
      <c r="X3" s="2" t="s">
        <v>6</v>
      </c>
      <c r="Y3" s="2" t="s">
        <v>10</v>
      </c>
      <c r="Z3" s="2" t="s">
        <v>10</v>
      </c>
      <c r="AA3" s="2" t="s">
        <v>8</v>
      </c>
      <c r="AB3" s="2" t="s">
        <v>8</v>
      </c>
      <c r="AC3" s="2" t="s">
        <v>9</v>
      </c>
      <c r="AD3" s="2" t="s">
        <v>6</v>
      </c>
      <c r="AE3" s="2" t="s">
        <v>6</v>
      </c>
      <c r="AF3" s="2" t="s">
        <v>8</v>
      </c>
      <c r="AG3" s="2" t="s">
        <v>6</v>
      </c>
      <c r="AH3" s="2" t="s">
        <v>6</v>
      </c>
      <c r="AI3" s="2" t="s">
        <v>10</v>
      </c>
      <c r="AJ3" s="2" t="s">
        <v>8</v>
      </c>
      <c r="AK3" s="2" t="s">
        <v>7</v>
      </c>
      <c r="AL3" s="2" t="s">
        <v>8</v>
      </c>
      <c r="AM3" s="2" t="s">
        <v>7</v>
      </c>
      <c r="AN3" s="2" t="s">
        <v>10</v>
      </c>
      <c r="AO3" s="2" t="s">
        <v>9</v>
      </c>
    </row>
    <row r="4" spans="1:41" x14ac:dyDescent="0.3">
      <c r="A4" s="10" t="s">
        <v>3</v>
      </c>
      <c r="B4" s="2">
        <v>50627</v>
      </c>
      <c r="C4" s="2">
        <v>48792</v>
      </c>
      <c r="D4" s="2">
        <v>83323</v>
      </c>
      <c r="E4" s="2">
        <v>83021</v>
      </c>
      <c r="F4" s="2">
        <v>48433</v>
      </c>
      <c r="G4" s="2">
        <v>83001</v>
      </c>
      <c r="H4" s="2">
        <v>51016</v>
      </c>
      <c r="I4" s="2">
        <v>63897</v>
      </c>
      <c r="J4" s="2">
        <v>42612</v>
      </c>
      <c r="K4" s="2">
        <v>63483</v>
      </c>
      <c r="L4" s="2">
        <v>88555</v>
      </c>
      <c r="M4" s="2">
        <v>57159</v>
      </c>
      <c r="N4" s="2">
        <v>84974</v>
      </c>
      <c r="O4" s="2">
        <v>80994</v>
      </c>
      <c r="P4" s="2">
        <v>54541</v>
      </c>
      <c r="Q4" s="2">
        <v>75920</v>
      </c>
      <c r="R4" s="2">
        <v>66531</v>
      </c>
      <c r="S4" s="2">
        <v>41585</v>
      </c>
      <c r="T4" s="2">
        <v>43943</v>
      </c>
      <c r="U4" s="2">
        <v>63939</v>
      </c>
      <c r="V4" s="2">
        <v>59457</v>
      </c>
      <c r="W4" s="2">
        <v>41021</v>
      </c>
      <c r="X4" s="2">
        <v>51653</v>
      </c>
      <c r="Y4" s="2">
        <v>83573</v>
      </c>
      <c r="Z4" s="2">
        <v>53417</v>
      </c>
      <c r="AA4" s="2">
        <v>80757</v>
      </c>
      <c r="AB4" s="2">
        <v>49692</v>
      </c>
      <c r="AC4" s="2">
        <v>85758</v>
      </c>
      <c r="AD4" s="2">
        <v>46873</v>
      </c>
      <c r="AE4" s="2">
        <v>45675</v>
      </c>
      <c r="AF4" s="2">
        <v>40161</v>
      </c>
      <c r="AG4" s="2">
        <v>77065</v>
      </c>
      <c r="AH4" s="2">
        <v>66557</v>
      </c>
      <c r="AI4" s="2">
        <v>73763</v>
      </c>
      <c r="AJ4" s="2">
        <v>72606</v>
      </c>
      <c r="AK4" s="2">
        <v>51534</v>
      </c>
      <c r="AL4" s="2">
        <v>69127</v>
      </c>
      <c r="AM4" s="2">
        <v>80397</v>
      </c>
      <c r="AN4" s="2">
        <v>65851</v>
      </c>
      <c r="AO4" s="2">
        <v>41016</v>
      </c>
    </row>
    <row r="5" spans="1:41" x14ac:dyDescent="0.3">
      <c r="A5" s="10" t="s">
        <v>4</v>
      </c>
      <c r="B5" s="2">
        <v>42035</v>
      </c>
      <c r="C5" s="2">
        <v>42063</v>
      </c>
      <c r="D5" s="2">
        <v>42094</v>
      </c>
      <c r="E5" s="2">
        <v>42124</v>
      </c>
      <c r="F5" s="2">
        <v>42155</v>
      </c>
      <c r="G5" s="2">
        <v>42185</v>
      </c>
      <c r="H5" s="2">
        <v>42216</v>
      </c>
      <c r="I5" s="2">
        <v>42247</v>
      </c>
      <c r="J5" s="2">
        <v>42277</v>
      </c>
      <c r="K5" s="2">
        <v>42308</v>
      </c>
      <c r="L5" s="2">
        <v>42338</v>
      </c>
      <c r="M5" s="2">
        <v>42369</v>
      </c>
      <c r="N5" s="2">
        <v>42400</v>
      </c>
      <c r="O5" s="2">
        <v>42429</v>
      </c>
      <c r="P5" s="2">
        <v>42460</v>
      </c>
      <c r="Q5" s="2">
        <v>42490</v>
      </c>
      <c r="R5" s="2">
        <v>42521</v>
      </c>
      <c r="S5" s="2">
        <v>42551</v>
      </c>
      <c r="T5" s="2">
        <v>42582</v>
      </c>
      <c r="U5" s="2">
        <v>42613</v>
      </c>
      <c r="V5" s="2">
        <v>42643</v>
      </c>
      <c r="W5" s="2">
        <v>42674</v>
      </c>
      <c r="X5" s="2">
        <v>42704</v>
      </c>
      <c r="Y5" s="2">
        <v>42735</v>
      </c>
      <c r="Z5" s="2">
        <v>42766</v>
      </c>
      <c r="AA5" s="2">
        <v>42794</v>
      </c>
      <c r="AB5" s="2">
        <v>42825</v>
      </c>
      <c r="AC5" s="2">
        <v>42855</v>
      </c>
      <c r="AD5" s="2">
        <v>42886</v>
      </c>
      <c r="AE5" s="2">
        <v>42916</v>
      </c>
      <c r="AF5" s="2">
        <v>42947</v>
      </c>
      <c r="AG5" s="2">
        <v>42978</v>
      </c>
      <c r="AH5" s="2">
        <v>43008</v>
      </c>
      <c r="AI5" s="2">
        <v>43039</v>
      </c>
      <c r="AJ5" s="2">
        <v>43069</v>
      </c>
      <c r="AK5" s="2">
        <v>43100</v>
      </c>
      <c r="AL5" s="2">
        <v>43131</v>
      </c>
      <c r="AM5" s="2">
        <v>43159</v>
      </c>
      <c r="AN5" s="2">
        <v>43190</v>
      </c>
      <c r="AO5" s="2">
        <v>43220</v>
      </c>
    </row>
    <row r="6" spans="1:41" x14ac:dyDescent="0.3">
      <c r="A6" s="10" t="s">
        <v>5</v>
      </c>
      <c r="B6" s="2">
        <v>8</v>
      </c>
      <c r="C6" s="2">
        <v>5</v>
      </c>
      <c r="D6" s="2">
        <v>2</v>
      </c>
      <c r="E6" s="2">
        <v>5</v>
      </c>
      <c r="F6" s="2">
        <v>8</v>
      </c>
      <c r="G6" s="2">
        <v>9</v>
      </c>
      <c r="H6" s="2">
        <v>9</v>
      </c>
      <c r="I6" s="2">
        <v>1</v>
      </c>
      <c r="J6" s="2">
        <v>9</v>
      </c>
      <c r="K6" s="2">
        <v>7</v>
      </c>
      <c r="L6" s="2">
        <v>9</v>
      </c>
      <c r="M6" s="2">
        <v>8</v>
      </c>
      <c r="N6" s="2">
        <v>1</v>
      </c>
      <c r="O6" s="2">
        <v>8</v>
      </c>
      <c r="P6" s="2">
        <v>8</v>
      </c>
      <c r="Q6" s="2">
        <v>3</v>
      </c>
      <c r="R6" s="2">
        <v>1</v>
      </c>
      <c r="S6" s="2">
        <v>8</v>
      </c>
      <c r="T6" s="2">
        <v>3</v>
      </c>
      <c r="U6" s="2">
        <v>3</v>
      </c>
      <c r="V6" s="2">
        <v>1</v>
      </c>
      <c r="W6" s="2">
        <v>5</v>
      </c>
      <c r="X6" s="2">
        <v>7</v>
      </c>
      <c r="Y6" s="2">
        <v>9</v>
      </c>
      <c r="Z6" s="2">
        <v>7</v>
      </c>
      <c r="AA6" s="2">
        <v>9</v>
      </c>
      <c r="AB6" s="2">
        <v>8</v>
      </c>
      <c r="AC6" s="2">
        <v>2</v>
      </c>
      <c r="AD6" s="2">
        <v>1</v>
      </c>
      <c r="AE6" s="2">
        <v>7</v>
      </c>
      <c r="AF6" s="2">
        <v>7</v>
      </c>
      <c r="AG6" s="2">
        <v>8</v>
      </c>
      <c r="AH6" s="2">
        <v>5</v>
      </c>
      <c r="AI6" s="2">
        <v>3</v>
      </c>
      <c r="AJ6" s="2">
        <v>8</v>
      </c>
      <c r="AK6" s="2">
        <v>6</v>
      </c>
      <c r="AL6" s="2">
        <v>3</v>
      </c>
      <c r="AM6" s="2">
        <v>1</v>
      </c>
      <c r="AN6" s="2">
        <v>3</v>
      </c>
      <c r="AO6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F2A-8EF0-4F64-AEE8-F5A13B5058AB}">
  <dimension ref="A1:M11"/>
  <sheetViews>
    <sheetView workbookViewId="0">
      <selection activeCell="H28" sqref="H28"/>
    </sheetView>
  </sheetViews>
  <sheetFormatPr defaultRowHeight="14.4" x14ac:dyDescent="0.3"/>
  <cols>
    <col min="1" max="1" width="16.5546875" bestFit="1" customWidth="1"/>
    <col min="2" max="2" width="7.21875" bestFit="1" customWidth="1"/>
    <col min="3" max="4" width="9.21875" bestFit="1" customWidth="1"/>
    <col min="5" max="5" width="7.21875" bestFit="1" customWidth="1"/>
    <col min="6" max="6" width="6" bestFit="1" customWidth="1"/>
    <col min="7" max="7" width="7.21875" bestFit="1" customWidth="1"/>
    <col min="8" max="9" width="6" bestFit="1" customWidth="1"/>
    <col min="13" max="13" width="106.109375" bestFit="1" customWidth="1"/>
  </cols>
  <sheetData>
    <row r="1" spans="1:13" x14ac:dyDescent="0.3">
      <c r="A1" s="11" t="s">
        <v>60</v>
      </c>
      <c r="B1" s="11">
        <v>1012</v>
      </c>
      <c r="C1" s="11">
        <v>1029</v>
      </c>
      <c r="D1" s="11">
        <v>1033</v>
      </c>
      <c r="E1" s="11">
        <v>1008</v>
      </c>
      <c r="F1" s="11">
        <v>1019</v>
      </c>
      <c r="G1" s="11">
        <v>1026</v>
      </c>
      <c r="H1" s="11">
        <v>1039</v>
      </c>
      <c r="I1" s="11">
        <v>1005</v>
      </c>
    </row>
    <row r="2" spans="1:13" ht="21" x14ac:dyDescent="0.4">
      <c r="A2" t="s">
        <v>3</v>
      </c>
      <c r="M2" s="18" t="s">
        <v>136</v>
      </c>
    </row>
    <row r="3" spans="1:13" x14ac:dyDescent="0.3">
      <c r="A3" t="s">
        <v>61</v>
      </c>
    </row>
    <row r="4" spans="1:13" x14ac:dyDescent="0.3">
      <c r="A4" t="s">
        <v>2</v>
      </c>
    </row>
    <row r="11" spans="1:13" ht="27" x14ac:dyDescent="0.6">
      <c r="M11" s="13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BF77-366E-41E7-B321-48B98D45417C}">
  <dimension ref="A13:F24"/>
  <sheetViews>
    <sheetView workbookViewId="0">
      <selection activeCell="B13" sqref="B13"/>
    </sheetView>
  </sheetViews>
  <sheetFormatPr defaultRowHeight="14.4" x14ac:dyDescent="0.3"/>
  <cols>
    <col min="1" max="1" width="80.77734375" bestFit="1" customWidth="1"/>
    <col min="2" max="2" width="19.5546875" style="4" customWidth="1"/>
    <col min="3" max="3" width="9.44140625" bestFit="1" customWidth="1"/>
    <col min="5" max="5" width="47.77734375" customWidth="1"/>
    <col min="6" max="6" width="28.5546875" customWidth="1"/>
  </cols>
  <sheetData>
    <row r="13" spans="1:6" x14ac:dyDescent="0.3">
      <c r="A13" t="s">
        <v>51</v>
      </c>
      <c r="B13" s="4">
        <v>1015</v>
      </c>
    </row>
    <row r="14" spans="1:6" x14ac:dyDescent="0.3">
      <c r="A14" t="s">
        <v>52</v>
      </c>
      <c r="B14" s="4" t="s">
        <v>17</v>
      </c>
      <c r="F14" s="2"/>
    </row>
    <row r="15" spans="1:6" x14ac:dyDescent="0.3">
      <c r="A15" t="s">
        <v>53</v>
      </c>
      <c r="B15" s="4">
        <v>1032</v>
      </c>
      <c r="C15" s="9"/>
      <c r="E15" s="11"/>
    </row>
    <row r="16" spans="1:6" x14ac:dyDescent="0.3">
      <c r="A16" t="s">
        <v>54</v>
      </c>
      <c r="B16" s="4" t="s">
        <v>20</v>
      </c>
      <c r="E16" s="11"/>
    </row>
    <row r="17" spans="1:2" x14ac:dyDescent="0.3">
      <c r="A17" t="s">
        <v>55</v>
      </c>
      <c r="B17" s="4">
        <v>1028</v>
      </c>
    </row>
    <row r="18" spans="1:2" x14ac:dyDescent="0.3">
      <c r="A18" t="s">
        <v>56</v>
      </c>
      <c r="B18" s="4" t="s">
        <v>25</v>
      </c>
    </row>
    <row r="19" spans="1:2" x14ac:dyDescent="0.3">
      <c r="A19" t="s">
        <v>57</v>
      </c>
      <c r="B19" s="4">
        <v>1039</v>
      </c>
    </row>
    <row r="20" spans="1:2" x14ac:dyDescent="0.3">
      <c r="A20" t="s">
        <v>58</v>
      </c>
      <c r="B20" s="4" t="s">
        <v>62</v>
      </c>
    </row>
    <row r="21" spans="1:2" x14ac:dyDescent="0.3">
      <c r="A21" t="s">
        <v>59</v>
      </c>
      <c r="B21" s="4" t="s">
        <v>36</v>
      </c>
    </row>
    <row r="22" spans="1:2" x14ac:dyDescent="0.3">
      <c r="A22" t="s">
        <v>63</v>
      </c>
      <c r="B22" s="4">
        <v>1007</v>
      </c>
    </row>
    <row r="23" spans="1:2" x14ac:dyDescent="0.3">
      <c r="A23" t="s">
        <v>64</v>
      </c>
      <c r="B23" s="4" t="s">
        <v>14</v>
      </c>
    </row>
    <row r="24" spans="1:2" x14ac:dyDescent="0.3">
      <c r="A24" t="s">
        <v>65</v>
      </c>
      <c r="B24" s="4">
        <v>1031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E1-9A55-4906-BA4B-E9F511D0348A}">
  <dimension ref="A1:I28"/>
  <sheetViews>
    <sheetView zoomScale="111" workbookViewId="0">
      <selection activeCell="D21" sqref="D21"/>
    </sheetView>
  </sheetViews>
  <sheetFormatPr defaultRowHeight="14.4" x14ac:dyDescent="0.3"/>
  <cols>
    <col min="1" max="1" width="30.21875" customWidth="1"/>
    <col min="2" max="2" width="19.33203125" customWidth="1"/>
    <col min="3" max="3" width="17.21875" customWidth="1"/>
    <col min="4" max="4" width="12.77734375" customWidth="1"/>
    <col min="8" max="8" width="84.33203125" customWidth="1"/>
  </cols>
  <sheetData>
    <row r="1" spans="1:9" x14ac:dyDescent="0.3">
      <c r="A1" s="5" t="s">
        <v>1</v>
      </c>
      <c r="B1" s="5" t="s">
        <v>2</v>
      </c>
      <c r="C1" s="5" t="s">
        <v>7</v>
      </c>
      <c r="D1" s="5" t="s">
        <v>66</v>
      </c>
    </row>
    <row r="2" spans="1:9" x14ac:dyDescent="0.3">
      <c r="A2" s="6" t="s">
        <v>67</v>
      </c>
      <c r="B2" s="6" t="s">
        <v>6</v>
      </c>
      <c r="C2" s="6">
        <v>5000</v>
      </c>
      <c r="D2" s="6" t="s">
        <v>68</v>
      </c>
    </row>
    <row r="3" spans="1:9" x14ac:dyDescent="0.3">
      <c r="A3" s="6" t="s">
        <v>69</v>
      </c>
      <c r="B3" s="6" t="s">
        <v>7</v>
      </c>
      <c r="C3" s="6">
        <v>7000</v>
      </c>
      <c r="D3" s="6" t="s">
        <v>70</v>
      </c>
      <c r="G3">
        <v>1</v>
      </c>
      <c r="H3" t="s">
        <v>71</v>
      </c>
    </row>
    <row r="4" spans="1:9" x14ac:dyDescent="0.3">
      <c r="A4" s="6" t="s">
        <v>72</v>
      </c>
      <c r="B4" s="6" t="s">
        <v>6</v>
      </c>
      <c r="C4" s="6">
        <v>3000</v>
      </c>
      <c r="D4" s="6" t="s">
        <v>73</v>
      </c>
      <c r="G4">
        <v>2</v>
      </c>
      <c r="H4" t="s">
        <v>74</v>
      </c>
    </row>
    <row r="5" spans="1:9" x14ac:dyDescent="0.3">
      <c r="A5" s="6" t="s">
        <v>75</v>
      </c>
      <c r="B5" s="6" t="s">
        <v>7</v>
      </c>
      <c r="C5" s="6">
        <v>4000</v>
      </c>
      <c r="D5" s="6" t="s">
        <v>76</v>
      </c>
      <c r="G5">
        <v>3</v>
      </c>
      <c r="H5" t="s">
        <v>77</v>
      </c>
    </row>
    <row r="6" spans="1:9" x14ac:dyDescent="0.3">
      <c r="A6" s="6" t="s">
        <v>78</v>
      </c>
      <c r="B6" s="6" t="s">
        <v>10</v>
      </c>
      <c r="C6" s="6">
        <v>2000</v>
      </c>
      <c r="D6" s="6" t="s">
        <v>68</v>
      </c>
      <c r="G6">
        <v>4</v>
      </c>
      <c r="H6" t="s">
        <v>79</v>
      </c>
    </row>
    <row r="7" spans="1:9" x14ac:dyDescent="0.3">
      <c r="A7" s="6" t="s">
        <v>80</v>
      </c>
      <c r="B7" s="6" t="s">
        <v>7</v>
      </c>
      <c r="C7" s="6">
        <v>6000</v>
      </c>
      <c r="D7" s="6" t="s">
        <v>73</v>
      </c>
      <c r="G7">
        <v>5</v>
      </c>
      <c r="H7" s="11" t="s">
        <v>81</v>
      </c>
    </row>
    <row r="8" spans="1:9" x14ac:dyDescent="0.3">
      <c r="A8" s="6" t="s">
        <v>82</v>
      </c>
      <c r="B8" s="6" t="s">
        <v>6</v>
      </c>
      <c r="C8" s="6">
        <v>4500</v>
      </c>
      <c r="D8" s="6" t="s">
        <v>76</v>
      </c>
    </row>
    <row r="9" spans="1:9" x14ac:dyDescent="0.3">
      <c r="A9" s="6" t="s">
        <v>83</v>
      </c>
      <c r="B9" s="6" t="s">
        <v>10</v>
      </c>
      <c r="C9" s="6">
        <v>3500</v>
      </c>
      <c r="D9" s="6" t="s">
        <v>70</v>
      </c>
    </row>
    <row r="11" spans="1:9" x14ac:dyDescent="0.3">
      <c r="A11" t="s">
        <v>120</v>
      </c>
      <c r="B11" s="11" t="s">
        <v>121</v>
      </c>
      <c r="C11" s="11"/>
      <c r="D11" s="11"/>
      <c r="E11" s="11"/>
      <c r="F11" s="11"/>
      <c r="G11" s="11"/>
      <c r="H11" s="11" t="s">
        <v>124</v>
      </c>
    </row>
    <row r="12" spans="1:9" x14ac:dyDescent="0.3">
      <c r="B12" s="11" t="s">
        <v>84</v>
      </c>
      <c r="C12" s="11"/>
      <c r="D12" s="11"/>
      <c r="E12" s="11"/>
      <c r="F12" s="11"/>
      <c r="G12" s="11"/>
      <c r="H12" s="11" t="s">
        <v>122</v>
      </c>
      <c r="I12" s="11"/>
    </row>
    <row r="13" spans="1:9" x14ac:dyDescent="0.3">
      <c r="B13" s="11" t="s">
        <v>85</v>
      </c>
      <c r="C13" s="11"/>
      <c r="D13" s="11"/>
      <c r="E13" s="11"/>
      <c r="F13" s="11"/>
      <c r="G13" s="11"/>
      <c r="H13" s="11" t="s">
        <v>123</v>
      </c>
    </row>
    <row r="14" spans="1:9" x14ac:dyDescent="0.3">
      <c r="B14" s="11" t="s">
        <v>86</v>
      </c>
      <c r="C14" s="11"/>
      <c r="D14" s="11"/>
      <c r="E14" s="11"/>
      <c r="F14" s="11"/>
      <c r="G14" s="11"/>
      <c r="H14" s="11" t="s">
        <v>125</v>
      </c>
    </row>
    <row r="15" spans="1:9" x14ac:dyDescent="0.3">
      <c r="B15" s="11" t="s">
        <v>87</v>
      </c>
      <c r="C15" s="11"/>
      <c r="D15" s="11"/>
      <c r="E15" s="11"/>
      <c r="F15" s="11"/>
      <c r="G15" s="11"/>
      <c r="H15" s="11" t="s">
        <v>126</v>
      </c>
    </row>
    <row r="16" spans="1:9" x14ac:dyDescent="0.3">
      <c r="B16" t="s">
        <v>106</v>
      </c>
    </row>
    <row r="17" spans="1:8" x14ac:dyDescent="0.3">
      <c r="B17" s="11" t="s">
        <v>111</v>
      </c>
      <c r="C17" s="11"/>
      <c r="D17" s="11"/>
      <c r="E17" s="11"/>
      <c r="F17" s="11"/>
      <c r="G17" s="11"/>
      <c r="H17" s="11" t="s">
        <v>129</v>
      </c>
    </row>
    <row r="18" spans="1:8" x14ac:dyDescent="0.3">
      <c r="B18" s="7"/>
    </row>
    <row r="21" spans="1:8" x14ac:dyDescent="0.3">
      <c r="A21">
        <f ca="1">COUNTA(UNIQUE(Table1[Department]))</f>
        <v>1</v>
      </c>
      <c r="B21" s="11"/>
    </row>
    <row r="22" spans="1:8" x14ac:dyDescent="0.3">
      <c r="B22" s="11"/>
    </row>
    <row r="23" spans="1:8" x14ac:dyDescent="0.3">
      <c r="B23" s="11"/>
    </row>
    <row r="27" spans="1:8" x14ac:dyDescent="0.3">
      <c r="B27" t="s">
        <v>127</v>
      </c>
    </row>
    <row r="28" spans="1:8" x14ac:dyDescent="0.3">
      <c r="B28" t="s">
        <v>128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8CE8-FA27-4C0E-9AFE-D76D8543886D}">
  <dimension ref="A1:H18"/>
  <sheetViews>
    <sheetView workbookViewId="0">
      <selection activeCell="G23" sqref="G23"/>
    </sheetView>
  </sheetViews>
  <sheetFormatPr defaultRowHeight="14.4" x14ac:dyDescent="0.3"/>
  <cols>
    <col min="1" max="1" width="11.77734375" customWidth="1"/>
    <col min="2" max="2" width="15.109375" customWidth="1"/>
    <col min="3" max="3" width="14" customWidth="1"/>
    <col min="4" max="4" width="17" customWidth="1"/>
    <col min="5" max="5" width="14.109375" customWidth="1"/>
    <col min="8" max="8" width="71.109375" customWidth="1"/>
  </cols>
  <sheetData>
    <row r="1" spans="1:8" x14ac:dyDescent="0.3">
      <c r="A1" s="5" t="s">
        <v>88</v>
      </c>
      <c r="B1" s="5" t="s">
        <v>89</v>
      </c>
      <c r="C1" s="5" t="s">
        <v>90</v>
      </c>
      <c r="D1" s="5" t="s">
        <v>91</v>
      </c>
      <c r="E1" s="5" t="s">
        <v>66</v>
      </c>
    </row>
    <row r="2" spans="1:8" x14ac:dyDescent="0.3">
      <c r="A2" s="6" t="s">
        <v>92</v>
      </c>
      <c r="B2" s="6" t="s">
        <v>93</v>
      </c>
      <c r="C2" s="8">
        <v>1200</v>
      </c>
      <c r="D2" s="6">
        <v>15</v>
      </c>
      <c r="E2" s="6" t="s">
        <v>68</v>
      </c>
    </row>
    <row r="3" spans="1:8" x14ac:dyDescent="0.3">
      <c r="A3" s="6" t="s">
        <v>94</v>
      </c>
      <c r="B3" s="6" t="s">
        <v>93</v>
      </c>
      <c r="C3" s="8">
        <v>800</v>
      </c>
      <c r="D3" s="6">
        <v>30</v>
      </c>
      <c r="E3" s="6" t="s">
        <v>70</v>
      </c>
      <c r="G3">
        <v>1</v>
      </c>
      <c r="H3" t="s">
        <v>95</v>
      </c>
    </row>
    <row r="4" spans="1:8" x14ac:dyDescent="0.3">
      <c r="A4" s="6" t="s">
        <v>96</v>
      </c>
      <c r="B4" s="6" t="s">
        <v>93</v>
      </c>
      <c r="C4" s="8">
        <v>500</v>
      </c>
      <c r="D4" s="6">
        <v>20</v>
      </c>
      <c r="E4" s="6" t="s">
        <v>73</v>
      </c>
      <c r="G4">
        <v>2</v>
      </c>
      <c r="H4" t="s">
        <v>97</v>
      </c>
    </row>
    <row r="5" spans="1:8" x14ac:dyDescent="0.3">
      <c r="A5" s="6" t="s">
        <v>98</v>
      </c>
      <c r="B5" s="6" t="s">
        <v>99</v>
      </c>
      <c r="C5" s="8">
        <v>150</v>
      </c>
      <c r="D5" s="6">
        <v>40</v>
      </c>
      <c r="E5" s="6" t="s">
        <v>76</v>
      </c>
      <c r="G5">
        <v>3</v>
      </c>
      <c r="H5" t="s">
        <v>100</v>
      </c>
    </row>
    <row r="6" spans="1:8" x14ac:dyDescent="0.3">
      <c r="A6" s="6" t="s">
        <v>101</v>
      </c>
      <c r="B6" s="6" t="s">
        <v>99</v>
      </c>
      <c r="C6" s="8">
        <v>100</v>
      </c>
      <c r="D6" s="6">
        <v>25</v>
      </c>
      <c r="E6" s="6" t="s">
        <v>68</v>
      </c>
      <c r="G6">
        <v>4</v>
      </c>
      <c r="H6" t="s">
        <v>102</v>
      </c>
    </row>
    <row r="7" spans="1:8" x14ac:dyDescent="0.3">
      <c r="A7" s="6" t="s">
        <v>103</v>
      </c>
      <c r="B7" s="6" t="s">
        <v>93</v>
      </c>
      <c r="C7" s="8">
        <v>300</v>
      </c>
      <c r="D7" s="6">
        <v>10</v>
      </c>
      <c r="E7" s="6" t="s">
        <v>70</v>
      </c>
      <c r="G7">
        <v>5</v>
      </c>
      <c r="H7" t="s">
        <v>107</v>
      </c>
    </row>
    <row r="8" spans="1:8" x14ac:dyDescent="0.3">
      <c r="A8" s="6" t="s">
        <v>104</v>
      </c>
      <c r="B8" s="6" t="s">
        <v>99</v>
      </c>
      <c r="C8" s="8">
        <v>50</v>
      </c>
      <c r="D8" s="6">
        <v>35</v>
      </c>
      <c r="E8" s="6" t="s">
        <v>73</v>
      </c>
    </row>
    <row r="9" spans="1:8" x14ac:dyDescent="0.3">
      <c r="A9" s="6" t="s">
        <v>105</v>
      </c>
      <c r="B9" s="6" t="s">
        <v>93</v>
      </c>
      <c r="C9" s="8">
        <v>200</v>
      </c>
      <c r="D9" s="6">
        <v>5</v>
      </c>
      <c r="E9" s="6" t="s">
        <v>76</v>
      </c>
    </row>
    <row r="11" spans="1:8" ht="23.4" x14ac:dyDescent="0.45">
      <c r="H11" s="15" t="s">
        <v>130</v>
      </c>
    </row>
    <row r="12" spans="1:8" x14ac:dyDescent="0.3">
      <c r="B12" t="s">
        <v>84</v>
      </c>
    </row>
    <row r="13" spans="1:8" x14ac:dyDescent="0.3">
      <c r="B13" t="s">
        <v>85</v>
      </c>
    </row>
    <row r="14" spans="1:8" x14ac:dyDescent="0.3">
      <c r="B14" t="s">
        <v>86</v>
      </c>
      <c r="D14" s="17" t="s">
        <v>133</v>
      </c>
    </row>
    <row r="15" spans="1:8" x14ac:dyDescent="0.3">
      <c r="B15" t="s">
        <v>87</v>
      </c>
      <c r="D15">
        <f>COUNTIFS(Table2[Category],"Electronics",Table2[Region],"North")</f>
        <v>1</v>
      </c>
      <c r="E15" t="s">
        <v>131</v>
      </c>
    </row>
    <row r="17" spans="4:5" x14ac:dyDescent="0.3">
      <c r="D17" s="11" t="s">
        <v>134</v>
      </c>
    </row>
    <row r="18" spans="4:5" x14ac:dyDescent="0.3">
      <c r="D18">
        <f>SUMIFS(Table2[Quantity Sold],Table2[Category],"Electronics",Table2[Region],"North")</f>
        <v>15</v>
      </c>
      <c r="E18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XLookup</vt:lpstr>
      <vt:lpstr>V_Data</vt:lpstr>
      <vt:lpstr>VLookup</vt:lpstr>
      <vt:lpstr>H_Data</vt:lpstr>
      <vt:lpstr>HLookup</vt:lpstr>
      <vt:lpstr>Index Match</vt:lpstr>
      <vt:lpstr>Functions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Anil Wadeda</cp:lastModifiedBy>
  <dcterms:created xsi:type="dcterms:W3CDTF">2025-02-16T07:57:20Z</dcterms:created>
  <dcterms:modified xsi:type="dcterms:W3CDTF">2026-07-06T04:30:37Z</dcterms:modified>
</cp:coreProperties>
</file>